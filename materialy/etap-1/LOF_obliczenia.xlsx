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eb013ed87343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yniki" sheetId="1" r:id="Ra2c677290859450d"/>
    <x:sheet xmlns:r="http://schemas.openxmlformats.org/officeDocument/2006/relationships" name="Przyklad_4_punkty" sheetId="2" r:id="R408ca64314c44d13"/>
    <x:sheet xmlns:r="http://schemas.openxmlformats.org/officeDocument/2006/relationships" name="Proba_430" sheetId="3" r:id="R1c27abc302dd4d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%"/>
    <x:numFmt numFmtId="202" formatCode="0"/>
  </x:numFmts>
  <x:fonts count="7">
    <x:font>
      <x:sz val="11"/>
      <x:name val="Carlito"/>
    </x:font>
    <x:font>
      <x:sz val="11"/>
      <x:color rgb="FF203849"/>
      <x:name val="Arial"/>
    </x:font>
    <x:font>
      <x:b/>
      <x:sz val="17"/>
      <x:color rgb="FF183D56"/>
      <x:name val="Arial"/>
    </x:font>
    <x:font>
      <x:sz val="11"/>
      <x:color rgb="FF607482"/>
      <x:name val="Arial"/>
    </x:font>
    <x:font>
      <x:sz val="11"/>
      <x:color rgb="FF24669B"/>
      <x:name val="Arial"/>
    </x:font>
    <x:font>
      <x:b/>
      <x:sz val="11"/>
      <x:color rgb="FFFFFFFF"/>
      <x:name val="Arial"/>
    </x:font>
    <x:font>
      <x:b/>
      <x:sz val="11"/>
      <x:color rgb="FF20384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0C2"/>
      </x:patternFill>
    </x:fill>
    <x:fill>
      <x:patternFill patternType="solid">
        <x:fgColor rgb="FF183D56"/>
      </x:patternFill>
    </x:fill>
    <x:fill>
      <x:patternFill patternType="solid">
        <x:fgColor rgb="FFFFF7D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98421D"/>
      </x:font>
      <x:fill>
        <x:patternFill patternType="solid">
          <x:bgColor rgb="FFFDE7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e2d8021d7249d8" /><Relationship Type="http://schemas.openxmlformats.org/officeDocument/2006/relationships/theme" Target="/xl/theme/theme1.xml" Id="R5dcf0e3e076f48f7" /><Relationship Type="http://schemas.openxmlformats.org/officeDocument/2006/relationships/sharedStrings" Target="/xl/sharedStrings.xml" Id="R24dfb9416ce346d1" /><Relationship Type="http://schemas.openxmlformats.org/officeDocument/2006/relationships/worksheet" Target="/xl/worksheets/sheet1.xml" Id="Ra2c677290859450d" /><Relationship Type="http://schemas.openxmlformats.org/officeDocument/2006/relationships/worksheet" Target="/xl/worksheets/sheet2.xml" Id="R408ca64314c44d13" /><Relationship Type="http://schemas.openxmlformats.org/officeDocument/2006/relationships/worksheet" Target="/xl/worksheets/sheet3.xml" Id="R1c27abc302dd4d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D56"/>
  </x:sheetPr>
  <x:sheetViews>
    <x:sheetView showGridLines="0" workbookViewId="0"/>
  </x:sheetViews>
  <x:sheetFormatPr defaultRowHeight="15"/>
  <x:cols>
    <x:col min="1" max="1" width="13" hidden="0" customWidth="1"/>
    <x:col min="2" max="2" width="23" hidden="0" customWidth="1"/>
    <x:col min="3" max="3" width="23" hidden="0" customWidth="1"/>
    <x:col min="4" max="4" width="23" hidden="0" customWidth="1"/>
    <x:col min="5" max="5" width="21" hidden="0" customWidth="1"/>
    <x:col min="6" max="6" width="17" hidden="0" customWidth="1"/>
    <x:col min="7" max="7" width="20" hidden="0" customWidth="1"/>
    <x:col min="8" max="8" width="2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3" t="str">
        <x:v>LOF - obliczenia do prezentacji etapu 1</x:v>
      </x:c>
      <x:c r="B2" s="2"/>
      <x:c r="C2" s="2"/>
      <x:c r="D2" s="2"/>
      <x:c r="E2" s="2"/>
      <x:c r="F2" s="2"/>
      <x:c r="G2" s="2"/>
      <x:c r="H2" s="2"/>
    </x:row>
    <x:row r="3" ht="22" customHeight="1">
      <x:c r="A3" s="2"/>
      <x:c r="B3" s="2"/>
      <x:c r="C3" s="2"/>
      <x:c r="D3" s="2"/>
      <x:c r="E3" s="2"/>
      <x:c r="F3" s="2"/>
      <x:c r="G3" s="2"/>
      <x:c r="H3" s="2"/>
    </x:row>
    <x:row r="4" ht="22" customHeight="1">
      <x:c r="A4" s="4" t="str">
        <x:v>Próba wykonalności: 430 punktów 2D, seed = 42. To dane ze slajdów 12-14.</x:v>
      </x:c>
      <x:c r="B4" s="2"/>
      <x:c r="C4" s="2"/>
      <x:c r="D4" s="2"/>
      <x:c r="E4" s="2"/>
      <x:c r="F4" s="2"/>
      <x:c r="G4" s="2"/>
      <x:c r="H4" s="2"/>
    </x:row>
    <x:row r="5" ht="22" customHeight="1">
      <x:c r="A5" s="2"/>
      <x:c r="B5" s="2"/>
      <x:c r="C5" s="2"/>
      <x:c r="D5" s="2"/>
      <x:c r="E5" s="2"/>
      <x:c r="F5" s="2"/>
      <x:c r="G5" s="2"/>
      <x:c r="H5" s="2"/>
    </x:row>
    <x:row r="6" ht="22" customHeight="1">
      <x:c r="A6" s="2" t="str">
        <x:v>Budżet B</x:v>
      </x:c>
      <x:c r="B6" s="6" t="n">
        <x:v>30</x:v>
      </x:c>
      <x:c r="C6" s="4" t="str">
        <x:v>B = 30 odtwarza recall@30 ze slajdu.</x:v>
      </x:c>
      <x:c r="D6" s="2"/>
      <x:c r="E6" s="2"/>
      <x:c r="F6" s="2"/>
      <x:c r="G6" s="2"/>
      <x:c r="H6" s="2"/>
    </x:row>
    <x:row r="7" ht="22" customHeight="1">
      <x:c r="A7" s="2"/>
      <x:c r="B7" s="2"/>
      <x:c r="C7" s="2"/>
      <x:c r="D7" s="2"/>
      <x:c r="E7" s="2"/>
      <x:c r="F7" s="2"/>
      <x:c r="G7" s="2"/>
      <x:c r="H7" s="2"/>
    </x:row>
    <x:row r="8" ht="44" customHeight="1">
      <x:c r="A8" s="10" t="str">
        <x:v>k</x:v>
      </x:c>
      <x:c r="B8" s="10" t="str">
        <x:v>Mediana normalnych</x:v>
      </x:c>
      <x:c r="C8" s="10" t="str">
        <x:v>Mediana anomalii</x:v>
      </x:c>
      <x:c r="D8" s="10" t="str">
        <x:v>Wykryte w top B</x:v>
      </x:c>
      <x:c r="E8" s="10" t="str">
        <x:v>Liczba anomalii</x:v>
      </x:c>
      <x:c r="F8" s="10" t="str">
        <x:v>Recall@B</x:v>
      </x:c>
      <x:c r="G8" s="2"/>
      <x:c r="H8" s="2"/>
    </x:row>
    <x:row r="9" ht="22" customHeight="1">
      <x:c r="A9" s="2" t="n">
        <x:v>10</x:v>
      </x:c>
      <x:c r="B9" s="11" t="n">
        <x:f>MEDIAN('Proba_430'!J8:J407)</x:f>
        <x:v>1.0294390948233825</x:v>
      </x:c>
      <x:c r="C9" s="11" t="n">
        <x:f>MEDIAN('Proba_430'!J408:J437)</x:f>
        <x:v>1.119902150132627</x:v>
      </x:c>
      <x:c r="D9" s="2" t="n">
        <x:f>SUMIFS('Proba_430'!L8:L437,'Proba_430'!$D$8:$D$437,1)</x:f>
        <x:v>7</x:v>
      </x:c>
      <x:c r="E9" s="2" t="n">
        <x:f>COUNTIFS('Proba_430'!$D$8:$D$437,1)</x:f>
        <x:v>30</x:v>
      </x:c>
      <x:c r="F9" s="12" t="n">
        <x:f>D9/E9</x:f>
        <x:v>0.23333333333333334</x:v>
      </x:c>
      <x:c r="G9" s="2"/>
      <x:c r="H9" s="2"/>
    </x:row>
    <x:row r="10" ht="22" customHeight="1">
      <x:c r="A10" s="2" t="n">
        <x:v>40</x:v>
      </x:c>
      <x:c r="B10" s="11" t="n">
        <x:f>MEDIAN('Proba_430'!R8:R407)</x:f>
        <x:v>1.0257116384619878</x:v>
      </x:c>
      <x:c r="C10" s="11" t="n">
        <x:f>MEDIAN('Proba_430'!R408:R437)</x:f>
        <x:v>1.9935533050205143</x:v>
      </x:c>
      <x:c r="D10" s="2" t="n">
        <x:f>SUMIFS('Proba_430'!T8:T437,'Proba_430'!$D$8:$D$437,1)</x:f>
        <x:v>25</x:v>
      </x:c>
      <x:c r="E10" s="2" t="n">
        <x:f>COUNTIFS('Proba_430'!$D$8:$D$437,1)</x:f>
        <x:v>30</x:v>
      </x:c>
      <x:c r="F10" s="12" t="n">
        <x:f>D10/E10</x:f>
        <x:v>0.8333333333333334</x:v>
      </x:c>
      <x:c r="G10" s="2"/>
      <x:c r="H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</x:row>
    <x:row r="13" ht="22" customHeight="1">
      <x:c r="A13" s="4" t="str">
        <x:v>Dla k = 10 część grupy pozostaje zamaskowana. Większe k ujawnia więcej jej punktów.</x:v>
      </x:c>
      <x:c r="B13" s="2"/>
      <x:c r="C13" s="2"/>
      <x:c r="D13" s="2"/>
      <x:c r="E13" s="2"/>
      <x:c r="F13" s="2"/>
      <x:c r="G13" s="2"/>
      <x:c r="H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</x:row>
    <x:row r="15" ht="22" customHeight="1">
      <x:c r="A15" s="4" t="str">
        <x:v>Python i NumPy generują dane oraz obliczają sąsiedztwa i średnie. Excel oblicza lrd, LOF, ranking i podsumowanie.</x:v>
      </x:c>
      <x:c r="B15" s="2"/>
      <x:c r="C15" s="2"/>
      <x:c r="D15" s="2"/>
      <x:c r="E15" s="2"/>
      <x:c r="F15" s="2"/>
      <x:c r="G15" s="2"/>
      <x:c r="H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</x:row>
    <x:row r="17" ht="22" customHeight="1">
      <x:c r="A17" s="4" t="str">
        <x:v>Arkusz Przyklad_4_punkty zawiera pełne obliczenie LOF formułami Excel dla A=0, B=1, C=3, P=10.</x:v>
      </x:c>
      <x:c r="B17" s="2"/>
      <x:c r="C17" s="2"/>
      <x:c r="D17" s="2"/>
      <x:c r="E17" s="2"/>
      <x:c r="F17" s="2"/>
      <x:c r="G17" s="2"/>
      <x:c r="H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</x:row>
    <x:row r="19" ht="22" customHeight="1">
      <x:c r="A19" s="4" t="str">
        <x:v>Niebieskie liczby: dane lub wyniki pośrednie z Pythona. Czarne liczby: formuły Excel.</x:v>
      </x:c>
      <x:c r="B19" s="2"/>
      <x:c r="C19" s="2"/>
      <x:c r="D19" s="2"/>
      <x:c r="E19" s="2"/>
      <x:c r="F19" s="2"/>
      <x:c r="G19" s="2"/>
      <x:c r="H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</x:row>
    <x:row r="21" ht="22" customHeight="1">
      <x:c r="A21" s="4" t="str">
        <x:v>Zmiana B aktualizuje wskazania i recall. Zmiana danych 430 punktów wymaga ponownego uruchomienia kodu.</x:v>
      </x:c>
      <x:c r="B21" s="2"/>
      <x:c r="C21" s="2"/>
      <x:c r="D21" s="2"/>
      <x:c r="E21" s="2"/>
      <x:c r="F21" s="2"/>
      <x:c r="G21" s="2"/>
      <x:c r="H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</x:row>
    <x:row r="23" ht="22" customHeight="1">
      <x:c r="A23" s="4" t="str">
        <x:v>Środowisko próby: Python 3.12.14, NumPy 2.3.5. Numery punktów w pliku zaczynają się od 1.</x:v>
      </x:c>
      <x:c r="B23" s="2"/>
      <x:c r="C23" s="2"/>
      <x:c r="D23" s="2"/>
      <x:c r="E23" s="2"/>
      <x:c r="F23" s="2"/>
      <x:c r="G23" s="2"/>
      <x:c r="H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</x:row>
  </x:sheetData>
  <x:dataValidations count="1">
    <x:dataValidation type="whole" operator="between" sqref="B6">
      <x:formula1>1</x:formula1>
      <x:formula2>430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3" t="str">
        <x:v>LOF krok po kroku - cztery punkty</x:v>
      </x:c>
      <x:c r="B2" s="2"/>
      <x:c r="C2" s="2"/>
      <x:c r="D2" s="2"/>
      <x:c r="E2" s="2"/>
      <x:c r="F2" s="2"/>
      <x:c r="G2" s="2"/>
      <x:c r="H2" s="2"/>
    </x:row>
    <x:row r="3" ht="22" customHeight="1">
      <x:c r="A3" s="2"/>
      <x:c r="B3" s="2"/>
      <x:c r="C3" s="2"/>
      <x:c r="D3" s="2"/>
      <x:c r="E3" s="2"/>
      <x:c r="F3" s="2"/>
      <x:c r="G3" s="2"/>
      <x:c r="H3" s="2"/>
    </x:row>
    <x:row r="4" ht="22" customHeight="1">
      <x:c r="A4" s="4" t="str">
        <x:v>Dane ze slajdów 6-7. Wszystkie obliczenia poniżej korzystają z formuł Excel.</x:v>
      </x:c>
      <x:c r="B4" s="2"/>
      <x:c r="C4" s="2"/>
      <x:c r="D4" s="2"/>
      <x:c r="E4" s="2"/>
      <x:c r="F4" s="2"/>
      <x:c r="G4" s="2"/>
      <x:c r="H4" s="2"/>
    </x:row>
    <x:row r="5" ht="22" customHeight="1">
      <x:c r="A5" s="2"/>
      <x:c r="B5" s="2"/>
      <x:c r="C5" s="2"/>
      <x:c r="D5" s="2"/>
      <x:c r="E5" s="2"/>
      <x:c r="F5" s="2"/>
      <x:c r="G5" s="2"/>
      <x:c r="H5" s="2"/>
    </x:row>
    <x:row r="6" ht="22" customHeight="1">
      <x:c r="A6" s="2" t="str">
        <x:v>k</x:v>
      </x:c>
      <x:c r="B6" s="6" t="n">
        <x:v>2</x:v>
      </x:c>
      <x:c r="C6" s="2"/>
      <x:c r="D6" s="2"/>
      <x:c r="E6" s="2"/>
      <x:c r="F6" s="2"/>
      <x:c r="G6" s="2"/>
      <x:c r="H6" s="2"/>
    </x:row>
    <x:row r="7" ht="22" customHeight="1">
      <x:c r="A7" s="2"/>
      <x:c r="B7" s="2"/>
      <x:c r="C7" s="2"/>
      <x:c r="D7" s="2"/>
      <x:c r="E7" s="2"/>
      <x:c r="F7" s="2"/>
      <x:c r="G7" s="2"/>
      <x:c r="H7" s="2"/>
    </x:row>
    <x:row r="8" ht="44" customHeight="1">
      <x:c r="A8" s="10" t="str">
        <x:v>Punkt</x:v>
      </x:c>
      <x:c r="B8" s="10" t="str">
        <x:v>Położenie x</x:v>
      </x:c>
      <x:c r="C8" s="10" t="str">
        <x:v>k-distance</x:v>
      </x:c>
      <x:c r="D8" s="10" t="str">
        <x:v>Liczba sąsiadów</x:v>
      </x:c>
      <x:c r="E8" s="10" t="str">
        <x:v>Średnia reach</x:v>
      </x:c>
      <x:c r="F8" s="10" t="str">
        <x:v>lrd</x:v>
      </x:c>
      <x:c r="G8" s="10" t="str">
        <x:v>Średnia lrd sąs.</x:v>
      </x:c>
      <x:c r="H8" s="10" t="str">
        <x:v>LOF</x:v>
      </x:c>
    </x:row>
    <x:row r="9" ht="22" customHeight="1">
      <x:c r="A9" s="2" t="str">
        <x:v>A</x:v>
      </x:c>
      <x:c r="B9" s="14" t="n">
        <x:v>0</x:v>
      </x:c>
      <x:c r="C9" s="11" t="n">
        <x:f>LARGE(B17:E17,4-$B$6)</x:f>
        <x:v>3</x:v>
      </x:c>
      <x:c r="D9" s="16" t="n">
        <x:f>SUM(B25:E25)</x:f>
        <x:v>2</x:v>
      </x:c>
      <x:c r="E9" s="11" t="n">
        <x:f>AVERAGE(B33:E33)</x:f>
        <x:v>2.5</x:v>
      </x:c>
      <x:c r="F9" s="11" t="n">
        <x:f>1/E9</x:f>
        <x:v>0.4</x:v>
      </x:c>
      <x:c r="G9" s="11" t="n">
        <x:f>AVERAGE(B41:E41)</x:f>
        <x:v>0.3666666666666667</x:v>
      </x:c>
      <x:c r="H9" s="11" t="n">
        <x:f>G9/F9</x:f>
        <x:v>0.9166666666666667</x:v>
      </x:c>
    </x:row>
    <x:row r="10" ht="22" customHeight="1">
      <x:c r="A10" s="2" t="str">
        <x:v>B</x:v>
      </x:c>
      <x:c r="B10" s="14" t="n">
        <x:v>1</x:v>
      </x:c>
      <x:c r="C10" s="11" t="n">
        <x:f>LARGE(B18:E18,4-$B$6)</x:f>
        <x:v>2</x:v>
      </x:c>
      <x:c r="D10" s="16" t="n">
        <x:f>SUM(B26:E26)</x:f>
        <x:v>2</x:v>
      </x:c>
      <x:c r="E10" s="11" t="n">
        <x:f>AVERAGE(B34:E34)</x:f>
        <x:v>3</x:v>
      </x:c>
      <x:c r="F10" s="11" t="n">
        <x:f>1/E10</x:f>
        <x:v>0.3333333333333333</x:v>
      </x:c>
      <x:c r="G10" s="11" t="n">
        <x:f>AVERAGE(B42:E42)</x:f>
        <x:v>0.4</x:v>
      </x:c>
      <x:c r="H10" s="11" t="n">
        <x:f>G10/F10</x:f>
        <x:v>1.2000000000000002</x:v>
      </x:c>
    </x:row>
    <x:row r="11" ht="22" customHeight="1">
      <x:c r="A11" s="2" t="str">
        <x:v>C</x:v>
      </x:c>
      <x:c r="B11" s="14" t="n">
        <x:v>3</x:v>
      </x:c>
      <x:c r="C11" s="11" t="n">
        <x:f>LARGE(B19:E19,4-$B$6)</x:f>
        <x:v>3</x:v>
      </x:c>
      <x:c r="D11" s="16" t="n">
        <x:f>SUM(B27:E27)</x:f>
        <x:v>2</x:v>
      </x:c>
      <x:c r="E11" s="11" t="n">
        <x:f>AVERAGE(B35:E35)</x:f>
        <x:v>2.5</x:v>
      </x:c>
      <x:c r="F11" s="11" t="n">
        <x:f>1/E11</x:f>
        <x:v>0.4</x:v>
      </x:c>
      <x:c r="G11" s="11" t="n">
        <x:f>AVERAGE(B43:E43)</x:f>
        <x:v>0.3666666666666667</x:v>
      </x:c>
      <x:c r="H11" s="11" t="n">
        <x:f>G11/F11</x:f>
        <x:v>0.9166666666666667</x:v>
      </x:c>
    </x:row>
    <x:row r="12" ht="22" customHeight="1">
      <x:c r="A12" s="2" t="str">
        <x:v>P</x:v>
      </x:c>
      <x:c r="B12" s="14" t="n">
        <x:v>10</x:v>
      </x:c>
      <x:c r="C12" s="11" t="n">
        <x:f>LARGE(B20:E20,4-$B$6)</x:f>
        <x:v>9</x:v>
      </x:c>
      <x:c r="D12" s="16" t="n">
        <x:f>SUM(B28:E28)</x:f>
        <x:v>2</x:v>
      </x:c>
      <x:c r="E12" s="11" t="n">
        <x:f>AVERAGE(B36:E36)</x:f>
        <x:v>8</x:v>
      </x:c>
      <x:c r="F12" s="11" t="n">
        <x:f>1/E12</x:f>
        <x:v>0.125</x:v>
      </x:c>
      <x:c r="G12" s="11" t="n">
        <x:f>AVERAGE(B44:E44)</x:f>
        <x:v>0.3666666666666667</x:v>
      </x:c>
      <x:c r="H12" s="11" t="n">
        <x:f>G12/F12</x:f>
        <x:v>2.9333333333333336</x:v>
      </x:c>
    </x:row>
    <x:row r="13" ht="22" customHeight="1">
      <x:c r="A13" s="2"/>
      <x:c r="B13" s="2"/>
      <x:c r="C13" s="2"/>
      <x:c r="D13" s="2"/>
      <x:c r="E13" s="2"/>
      <x:c r="F13" s="2"/>
      <x:c r="G13" s="2"/>
      <x:c r="H13" s="2"/>
    </x:row>
    <x:row r="14" ht="22" customHeight="1">
      <x:c r="A14" s="15" t="str">
        <x:v>1. Odległości euklidesowe d(p,o)</x:v>
      </x:c>
      <x:c r="B14" s="2"/>
      <x:c r="C14" s="2"/>
      <x:c r="D14" s="2"/>
      <x:c r="E14" s="2"/>
      <x:c r="F14" s="2"/>
      <x:c r="G14" s="2"/>
      <x:c r="H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</x:row>
    <x:row r="16" ht="44" customHeight="1">
      <x:c r="A16" s="10" t="str">
        <x:v>Punkt p / o</x:v>
      </x:c>
      <x:c r="B16" s="10" t="str">
        <x:v>A</x:v>
      </x:c>
      <x:c r="C16" s="10" t="str">
        <x:v>B</x:v>
      </x:c>
      <x:c r="D16" s="10" t="str">
        <x:v>C</x:v>
      </x:c>
      <x:c r="E16" s="10" t="str">
        <x:v>P</x:v>
      </x:c>
      <x:c r="F16" s="2"/>
      <x:c r="G16" s="2"/>
      <x:c r="H16" s="2"/>
    </x:row>
    <x:row r="17" ht="22" customHeight="1">
      <x:c r="A17" s="2" t="str">
        <x:v>A</x:v>
      </x:c>
      <x:c r="B17" s="11"/>
      <x:c r="C17" s="11" t="n">
        <x:f>ABS($B9-$B10)</x:f>
        <x:v>1</x:v>
      </x:c>
      <x:c r="D17" s="11" t="n">
        <x:f>ABS($B9-$B11)</x:f>
        <x:v>3</x:v>
      </x:c>
      <x:c r="E17" s="11" t="n">
        <x:f>ABS($B9-$B12)</x:f>
        <x:v>10</x:v>
      </x:c>
      <x:c r="F17" s="2"/>
      <x:c r="G17" s="2"/>
      <x:c r="H17" s="2"/>
    </x:row>
    <x:row r="18" ht="22" customHeight="1">
      <x:c r="A18" s="2" t="str">
        <x:v>B</x:v>
      </x:c>
      <x:c r="B18" s="11" t="n">
        <x:f>ABS($B10-$B9)</x:f>
        <x:v>1</x:v>
      </x:c>
      <x:c r="C18" s="11"/>
      <x:c r="D18" s="11" t="n">
        <x:f>ABS($B10-$B11)</x:f>
        <x:v>2</x:v>
      </x:c>
      <x:c r="E18" s="11" t="n">
        <x:f>ABS($B10-$B12)</x:f>
        <x:v>9</x:v>
      </x:c>
      <x:c r="F18" s="2"/>
      <x:c r="G18" s="2"/>
      <x:c r="H18" s="2"/>
    </x:row>
    <x:row r="19" ht="22" customHeight="1">
      <x:c r="A19" s="2" t="str">
        <x:v>C</x:v>
      </x:c>
      <x:c r="B19" s="11" t="n">
        <x:f>ABS($B11-$B9)</x:f>
        <x:v>3</x:v>
      </x:c>
      <x:c r="C19" s="11" t="n">
        <x:f>ABS($B11-$B10)</x:f>
        <x:v>2</x:v>
      </x:c>
      <x:c r="D19" s="11"/>
      <x:c r="E19" s="11" t="n">
        <x:f>ABS($B11-$B12)</x:f>
        <x:v>7</x:v>
      </x:c>
      <x:c r="F19" s="2"/>
      <x:c r="G19" s="2"/>
      <x:c r="H19" s="2"/>
    </x:row>
    <x:row r="20" ht="22" customHeight="1">
      <x:c r="A20" s="2" t="str">
        <x:v>P</x:v>
      </x:c>
      <x:c r="B20" s="11" t="n">
        <x:f>ABS($B12-$B9)</x:f>
        <x:v>10</x:v>
      </x:c>
      <x:c r="C20" s="11" t="n">
        <x:f>ABS($B12-$B10)</x:f>
        <x:v>9</x:v>
      </x:c>
      <x:c r="D20" s="11" t="n">
        <x:f>ABS($B12-$B11)</x:f>
        <x:v>7</x:v>
      </x:c>
      <x:c r="E20" s="11"/>
      <x:c r="F20" s="2"/>
      <x:c r="G20" s="2"/>
      <x:c r="H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</x:row>
    <x:row r="22" ht="22" customHeight="1">
      <x:c r="A22" s="15" t="str">
        <x:v>2. Sąsiedztwo: 1 oznacza sąsiada</x:v>
      </x:c>
      <x:c r="B22" s="2"/>
      <x:c r="C22" s="2"/>
      <x:c r="D22" s="2"/>
      <x:c r="E22" s="2"/>
      <x:c r="F22" s="2"/>
      <x:c r="G22" s="2"/>
      <x:c r="H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</x:row>
    <x:row r="24" ht="44" customHeight="1">
      <x:c r="A24" s="10" t="str">
        <x:v>Punkt p / o</x:v>
      </x:c>
      <x:c r="B24" s="10" t="str">
        <x:v>A</x:v>
      </x:c>
      <x:c r="C24" s="10" t="str">
        <x:v>B</x:v>
      </x:c>
      <x:c r="D24" s="10" t="str">
        <x:v>C</x:v>
      </x:c>
      <x:c r="E24" s="10" t="str">
        <x:v>P</x:v>
      </x:c>
      <x:c r="F24" s="2"/>
      <x:c r="G24" s="2"/>
      <x:c r="H24" s="2"/>
    </x:row>
    <x:row r="25" ht="22" customHeight="1">
      <x:c r="A25" s="2" t="str">
        <x:v>A</x:v>
      </x:c>
      <x:c r="B25" s="2" t="n">
        <x:f>0</x:f>
        <x:v>0</x:v>
      </x:c>
      <x:c r="C25" s="2" t="n">
        <x:f>IF(C17&lt;=$C9,1,0)</x:f>
        <x:v>1</x:v>
      </x:c>
      <x:c r="D25" s="2" t="n">
        <x:f>IF(D17&lt;=$C9,1,0)</x:f>
        <x:v>1</x:v>
      </x:c>
      <x:c r="E25" s="2" t="n">
        <x:f>IF(E17&lt;=$C9,1,0)</x:f>
        <x:v>0</x:v>
      </x:c>
      <x:c r="F25" s="2"/>
      <x:c r="G25" s="2"/>
      <x:c r="H25" s="2"/>
    </x:row>
    <x:row r="26" ht="22" customHeight="1">
      <x:c r="A26" s="2" t="str">
        <x:v>B</x:v>
      </x:c>
      <x:c r="B26" s="2" t="n">
        <x:f>IF(B18&lt;=$C10,1,0)</x:f>
        <x:v>1</x:v>
      </x:c>
      <x:c r="C26" s="2" t="n">
        <x:f>0</x:f>
        <x:v>0</x:v>
      </x:c>
      <x:c r="D26" s="2" t="n">
        <x:f>IF(D18&lt;=$C10,1,0)</x:f>
        <x:v>1</x:v>
      </x:c>
      <x:c r="E26" s="2" t="n">
        <x:f>IF(E18&lt;=$C10,1,0)</x:f>
        <x:v>0</x:v>
      </x:c>
      <x:c r="F26" s="2"/>
      <x:c r="G26" s="2"/>
      <x:c r="H26" s="2"/>
    </x:row>
    <x:row r="27" ht="22" customHeight="1">
      <x:c r="A27" s="2" t="str">
        <x:v>C</x:v>
      </x:c>
      <x:c r="B27" s="2" t="n">
        <x:f>IF(B19&lt;=$C11,1,0)</x:f>
        <x:v>1</x:v>
      </x:c>
      <x:c r="C27" s="2" t="n">
        <x:f>IF(C19&lt;=$C11,1,0)</x:f>
        <x:v>1</x:v>
      </x:c>
      <x:c r="D27" s="2" t="n">
        <x:f>0</x:f>
        <x:v>0</x:v>
      </x:c>
      <x:c r="E27" s="2" t="n">
        <x:f>IF(E19&lt;=$C11,1,0)</x:f>
        <x:v>0</x:v>
      </x:c>
      <x:c r="F27" s="2"/>
      <x:c r="G27" s="2"/>
      <x:c r="H27" s="2"/>
    </x:row>
    <x:row r="28" ht="22" customHeight="1">
      <x:c r="A28" s="2" t="str">
        <x:v>P</x:v>
      </x:c>
      <x:c r="B28" s="2" t="n">
        <x:f>IF(B20&lt;=$C12,1,0)</x:f>
        <x:v>0</x:v>
      </x:c>
      <x:c r="C28" s="2" t="n">
        <x:f>IF(C20&lt;=$C12,1,0)</x:f>
        <x:v>1</x:v>
      </x:c>
      <x:c r="D28" s="2" t="n">
        <x:f>IF(D20&lt;=$C12,1,0)</x:f>
        <x:v>1</x:v>
      </x:c>
      <x:c r="E28" s="2" t="n">
        <x:f>0</x:f>
        <x:v>0</x:v>
      </x:c>
      <x:c r="F28" s="2"/>
      <x:c r="G28" s="2"/>
      <x:c r="H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</x:row>
    <x:row r="30" ht="22" customHeight="1">
      <x:c r="A30" s="15" t="str">
        <x:v>3. Odległości osiągalności dla sąsiadów</x:v>
      </x:c>
      <x:c r="B30" s="2"/>
      <x:c r="C30" s="2"/>
      <x:c r="D30" s="2"/>
      <x:c r="E30" s="2"/>
      <x:c r="F30" s="2"/>
      <x:c r="G30" s="2"/>
      <x:c r="H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</x:row>
    <x:row r="32" ht="44" customHeight="1">
      <x:c r="A32" s="10" t="str">
        <x:v>Punkt p / o</x:v>
      </x:c>
      <x:c r="B32" s="10" t="str">
        <x:v>A</x:v>
      </x:c>
      <x:c r="C32" s="10" t="str">
        <x:v>B</x:v>
      </x:c>
      <x:c r="D32" s="10" t="str">
        <x:v>C</x:v>
      </x:c>
      <x:c r="E32" s="10" t="str">
        <x:v>P</x:v>
      </x:c>
      <x:c r="F32" s="2"/>
      <x:c r="G32" s="2"/>
      <x:c r="H32" s="2"/>
    </x:row>
    <x:row r="33" ht="22" customHeight="1">
      <x:c r="A33" s="2" t="str">
        <x:v>A</x:v>
      </x:c>
      <x:c r="B33" s="11" t="str">
        <x:f>IF(B25=1,MAX(B17,$C$9),"")</x:f>
      </x:c>
      <x:c r="C33" s="11" t="n">
        <x:f>IF(C25=1,MAX(C17,$C$10),"")</x:f>
        <x:v>2</x:v>
      </x:c>
      <x:c r="D33" s="11" t="n">
        <x:f>IF(D25=1,MAX(D17,$C$11),"")</x:f>
        <x:v>3</x:v>
      </x:c>
      <x:c r="E33" s="11" t="str">
        <x:f>IF(E25=1,MAX(E17,$C$12),"")</x:f>
      </x:c>
      <x:c r="F33" s="2"/>
      <x:c r="G33" s="2"/>
      <x:c r="H33" s="2"/>
    </x:row>
    <x:row r="34" ht="22" customHeight="1">
      <x:c r="A34" s="2" t="str">
        <x:v>B</x:v>
      </x:c>
      <x:c r="B34" s="11" t="n">
        <x:f>IF(B26=1,MAX(B18,$C$9),"")</x:f>
        <x:v>3</x:v>
      </x:c>
      <x:c r="C34" s="11" t="str">
        <x:f>IF(C26=1,MAX(C18,$C$10),"")</x:f>
      </x:c>
      <x:c r="D34" s="11" t="n">
        <x:f>IF(D26=1,MAX(D18,$C$11),"")</x:f>
        <x:v>3</x:v>
      </x:c>
      <x:c r="E34" s="11" t="str">
        <x:f>IF(E26=1,MAX(E18,$C$12),"")</x:f>
      </x:c>
      <x:c r="F34" s="2"/>
      <x:c r="G34" s="2"/>
      <x:c r="H34" s="2"/>
    </x:row>
    <x:row r="35" ht="22" customHeight="1">
      <x:c r="A35" s="2" t="str">
        <x:v>C</x:v>
      </x:c>
      <x:c r="B35" s="11" t="n">
        <x:f>IF(B27=1,MAX(B19,$C$9),"")</x:f>
        <x:v>3</x:v>
      </x:c>
      <x:c r="C35" s="11" t="n">
        <x:f>IF(C27=1,MAX(C19,$C$10),"")</x:f>
        <x:v>2</x:v>
      </x:c>
      <x:c r="D35" s="11" t="str">
        <x:f>IF(D27=1,MAX(D19,$C$11),"")</x:f>
      </x:c>
      <x:c r="E35" s="11" t="str">
        <x:f>IF(E27=1,MAX(E19,$C$12),"")</x:f>
      </x:c>
      <x:c r="F35" s="2"/>
      <x:c r="G35" s="2"/>
      <x:c r="H35" s="2"/>
    </x:row>
    <x:row r="36" ht="22" customHeight="1">
      <x:c r="A36" s="2" t="str">
        <x:v>P</x:v>
      </x:c>
      <x:c r="B36" s="11" t="str">
        <x:f>IF(B28=1,MAX(B20,$C$9),"")</x:f>
      </x:c>
      <x:c r="C36" s="11" t="n">
        <x:f>IF(C28=1,MAX(C20,$C$10),"")</x:f>
        <x:v>9</x:v>
      </x:c>
      <x:c r="D36" s="11" t="n">
        <x:f>IF(D28=1,MAX(D20,$C$11),"")</x:f>
        <x:v>7</x:v>
      </x:c>
      <x:c r="E36" s="11" t="str">
        <x:f>IF(E28=1,MAX(E20,$C$12),"")</x:f>
      </x:c>
      <x:c r="F36" s="2"/>
      <x:c r="G36" s="2"/>
      <x:c r="H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</x:row>
    <x:row r="38" ht="22" customHeight="1">
      <x:c r="A38" s="15" t="str">
        <x:v>4. Gęstości lrd sąsiadów</x:v>
      </x:c>
      <x:c r="B38" s="2"/>
      <x:c r="C38" s="2"/>
      <x:c r="D38" s="2"/>
      <x:c r="E38" s="2"/>
      <x:c r="F38" s="2"/>
      <x:c r="G38" s="2"/>
      <x:c r="H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</x:row>
    <x:row r="40" ht="44" customHeight="1">
      <x:c r="A40" s="10" t="str">
        <x:v>Punkt p / o</x:v>
      </x:c>
      <x:c r="B40" s="10" t="str">
        <x:v>A</x:v>
      </x:c>
      <x:c r="C40" s="10" t="str">
        <x:v>B</x:v>
      </x:c>
      <x:c r="D40" s="10" t="str">
        <x:v>C</x:v>
      </x:c>
      <x:c r="E40" s="10" t="str">
        <x:v>P</x:v>
      </x:c>
      <x:c r="F40" s="2"/>
      <x:c r="G40" s="2"/>
      <x:c r="H40" s="2"/>
    </x:row>
    <x:row r="41" ht="22" customHeight="1">
      <x:c r="A41" s="2" t="str">
        <x:v>A</x:v>
      </x:c>
      <x:c r="B41" s="11" t="str">
        <x:f>IF(B25=1,$F$9,"")</x:f>
      </x:c>
      <x:c r="C41" s="11" t="n">
        <x:f>IF(C25=1,$F$10,"")</x:f>
        <x:v>0.3333333333333333</x:v>
      </x:c>
      <x:c r="D41" s="11" t="n">
        <x:f>IF(D25=1,$F$11,"")</x:f>
        <x:v>0.4</x:v>
      </x:c>
      <x:c r="E41" s="11" t="str">
        <x:f>IF(E25=1,$F$12,"")</x:f>
      </x:c>
      <x:c r="F41" s="2"/>
      <x:c r="G41" s="2"/>
      <x:c r="H41" s="2"/>
    </x:row>
    <x:row r="42" ht="22" customHeight="1">
      <x:c r="A42" s="2" t="str">
        <x:v>B</x:v>
      </x:c>
      <x:c r="B42" s="11" t="n">
        <x:f>IF(B26=1,$F$9,"")</x:f>
        <x:v>0.4</x:v>
      </x:c>
      <x:c r="C42" s="11" t="str">
        <x:f>IF(C26=1,$F$10,"")</x:f>
      </x:c>
      <x:c r="D42" s="11" t="n">
        <x:f>IF(D26=1,$F$11,"")</x:f>
        <x:v>0.4</x:v>
      </x:c>
      <x:c r="E42" s="11" t="str">
        <x:f>IF(E26=1,$F$12,"")</x:f>
      </x:c>
      <x:c r="F42" s="2"/>
      <x:c r="G42" s="2"/>
      <x:c r="H42" s="2"/>
    </x:row>
    <x:row r="43" ht="22" customHeight="1">
      <x:c r="A43" s="2" t="str">
        <x:v>C</x:v>
      </x:c>
      <x:c r="B43" s="11" t="n">
        <x:f>IF(B27=1,$F$9,"")</x:f>
        <x:v>0.4</x:v>
      </x:c>
      <x:c r="C43" s="11" t="n">
        <x:f>IF(C27=1,$F$10,"")</x:f>
        <x:v>0.3333333333333333</x:v>
      </x:c>
      <x:c r="D43" s="11" t="str">
        <x:f>IF(D27=1,$F$11,"")</x:f>
      </x:c>
      <x:c r="E43" s="11" t="str">
        <x:f>IF(E27=1,$F$12,"")</x:f>
      </x:c>
      <x:c r="F43" s="2"/>
      <x:c r="G43" s="2"/>
      <x:c r="H43" s="2"/>
    </x:row>
    <x:row r="44" ht="22" customHeight="1">
      <x:c r="A44" s="2" t="str">
        <x:v>P</x:v>
      </x:c>
      <x:c r="B44" s="11" t="str">
        <x:f>IF(B28=1,$F$9,"")</x:f>
      </x:c>
      <x:c r="C44" s="11" t="n">
        <x:f>IF(C28=1,$F$10,"")</x:f>
        <x:v>0.3333333333333333</x:v>
      </x:c>
      <x:c r="D44" s="11" t="n">
        <x:f>IF(D28=1,$F$11,"")</x:f>
        <x:v>0.4</x:v>
      </x:c>
      <x:c r="E44" s="11" t="str">
        <x:f>IF(E28=1,$F$12,"")</x:f>
      </x:c>
      <x:c r="F44" s="2"/>
      <x:c r="G44" s="2"/>
      <x:c r="H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</x:row>
    <x:row r="47" ht="22" customHeight="1">
      <x:c r="A47" s="2" t="str">
        <x:v>Wynik dla P</x:v>
      </x:c>
      <x:c r="B47" s="11" t="n">
        <x:f>H12</x:f>
        <x:v>2.9333333333333336</x:v>
      </x:c>
      <x:c r="C47" s="2"/>
      <x:c r="D47" s="2"/>
      <x:c r="E47" s="2"/>
      <x:c r="F47" s="2"/>
      <x:c r="G47" s="2"/>
      <x:c r="H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</x:row>
    <x:row r="49" ht="22" customHeight="1">
      <x:c r="A49" s="4" t="str">
        <x:v>Puste pola macierzy pomijają punkt własny albo obiekty spoza sąsiedztwa.</x:v>
      </x:c>
      <x:c r="B49" s="2"/>
      <x:c r="C49" s="2"/>
      <x:c r="D49" s="2"/>
      <x:c r="E49" s="2"/>
      <x:c r="F49" s="2"/>
      <x:c r="G49" s="2"/>
      <x:c r="H49" s="2"/>
    </x:row>
    <x:row r="50" ht="22" customHeight="1">
      <x:c r="A50" s="2"/>
      <x:c r="B50" s="2"/>
      <x:c r="C50" s="2"/>
      <x:c r="D50" s="2"/>
      <x:c r="E50" s="2"/>
      <x:c r="F50" s="2"/>
      <x:c r="G50" s="2"/>
      <x:c r="H50" s="2"/>
    </x:row>
    <x:row r="51" ht="22" customHeight="1">
      <x:c r="A51" s="4" t="str">
        <x:v>Przy remisach na granicy k-distance liczba sąsiadów może przekroczyć k.</x:v>
      </x:c>
      <x:c r="B51" s="2"/>
      <x:c r="C51" s="2"/>
      <x:c r="D51" s="2"/>
      <x:c r="E51" s="2"/>
      <x:c r="F51" s="2"/>
      <x:c r="G51" s="2"/>
      <x:c r="H51" s="2"/>
    </x:row>
    <x:row r="52" ht="22" customHeight="1">
      <x:c r="A52" s="2"/>
      <x:c r="B52" s="2"/>
      <x:c r="C52" s="2"/>
      <x:c r="D52" s="2"/>
      <x:c r="E52" s="2"/>
      <x:c r="F52" s="2"/>
      <x:c r="G52" s="2"/>
      <x:c r="H52" s="2"/>
    </x:row>
    <x:row r="53" ht="22" customHeight="1">
      <x:c r="A53" s="4" t="str">
        <x:v>Źródło definicji: Breunig i in. (2000), sekcja 4. DOI: 10.1145/342009.335388.</x:v>
      </x:c>
      <x:c r="B53" s="2"/>
      <x:c r="C53" s="2"/>
      <x:c r="D53" s="2"/>
      <x:c r="E53" s="2"/>
      <x:c r="F53" s="2"/>
      <x:c r="G53" s="2"/>
      <x:c r="H53" s="2"/>
    </x:row>
    <x:row r="54" ht="22" customHeight="1">
      <x:c r="A54" s="2"/>
      <x:c r="B54" s="2"/>
      <x:c r="C54" s="2"/>
      <x:c r="D54" s="2"/>
      <x:c r="E54" s="2"/>
      <x:c r="F54" s="2"/>
      <x:c r="G54" s="2"/>
      <x:c r="H54" s="2"/>
    </x:row>
    <x:row r="55" ht="22" customHeight="1">
      <x:c r="A55" s="4" t="str">
        <x:v>https://cse.hkust.edu.hk/~raywong/comp5331/References/LOFIdentifyingDensityBasedLocalOutliers.pdf</x:v>
      </x:c>
      <x:c r="B55" s="2"/>
      <x:c r="C55" s="2"/>
      <x:c r="D55" s="2"/>
      <x:c r="E55" s="2"/>
      <x:c r="F55" s="2"/>
      <x:c r="G55" s="2"/>
      <x:c r="H55" s="2"/>
    </x:row>
    <x:row r="56" ht="22" customHeight="1">
      <x:c r="A56" s="2"/>
      <x:c r="B56" s="2"/>
      <x:c r="C56" s="2"/>
      <x:c r="D56" s="2"/>
      <x:c r="E56" s="2"/>
      <x:c r="F56" s="2"/>
      <x:c r="G56" s="2"/>
      <x:c r="H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</x:row>
  </x:sheetData>
  <x:dataValidations count="1">
    <x:dataValidation type="whole" operator="between" sqref="B6">
      <x:formula1>1</x:formula1>
      <x:formula2>3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2" customHeight="1">
      <x:c r="A2" s="3" t="str">
        <x:v>Próba LOF - 430 punktów i wyniki pośrednie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4" t="str">
        <x:v>Generator: 400 punktów N((0,0), 0.55²I), 30 anomalii N((4,0), 0.08²I). NumPy default_rng(42).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4" t="str">
        <x:v>Średnie i sąsiedztwa są zapisanym wynikiem kodu eksperyment_lof.py. Edycja współrzędnych nie przelicza tych średnich.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22" customHeight="1">
      <x:c r="A6" s="4" t="str">
        <x:v>Ranking: większy LOF jest wyżej. Ewentualne remisy rozstrzyga rosnący numer punktu.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 ht="44" customHeight="1">
      <x:c r="A7" s="10" t="str">
        <x:v>ID</x:v>
      </x:c>
      <x:c r="B7" s="10" t="str">
        <x:v>x</x:v>
      </x:c>
      <x:c r="C7" s="10" t="str">
        <x:v>y</x:v>
      </x:c>
      <x:c r="D7" s="10" t="str">
        <x:v>Anomalia 0/1</x:v>
      </x:c>
      <x:c r="E7" s="10" t="str">
        <x:v>k-distance 10</x:v>
      </x:c>
      <x:c r="F7" s="10" t="str">
        <x:v>Sąsiedzi 10</x:v>
      </x:c>
      <x:c r="G7" s="10" t="str">
        <x:v>Średnia reach 10</x:v>
      </x:c>
      <x:c r="H7" s="10" t="str">
        <x:v>lrd 10</x:v>
      </x:c>
      <x:c r="I7" s="10" t="str">
        <x:v>Średnia lrd sąs. 10</x:v>
      </x:c>
      <x:c r="J7" s="10" t="str">
        <x:v>LOF 10</x:v>
      </x:c>
      <x:c r="K7" s="10" t="str">
        <x:v>Pozycja 10</x:v>
      </x:c>
      <x:c r="L7" s="10" t="str">
        <x:v>Top B dla 10</x:v>
      </x:c>
      <x:c r="M7" s="10" t="str">
        <x:v>k-distance 40</x:v>
      </x:c>
      <x:c r="N7" s="10" t="str">
        <x:v>Sąsiedzi 40</x:v>
      </x:c>
      <x:c r="O7" s="10" t="str">
        <x:v>Średnia reach 40</x:v>
      </x:c>
      <x:c r="P7" s="10" t="str">
        <x:v>lrd 40</x:v>
      </x:c>
      <x:c r="Q7" s="10" t="str">
        <x:v>Średnia lrd sąs. 40</x:v>
      </x:c>
      <x:c r="R7" s="10" t="str">
        <x:v>LOF 40</x:v>
      </x:c>
      <x:c r="S7" s="10" t="str">
        <x:v>Pozycja 40</x:v>
      </x:c>
      <x:c r="T7" s="10" t="str">
        <x:v>Top B dla 40</x:v>
      </x:c>
    </x:row>
    <x:row r="8" ht="22" customHeight="1">
      <x:c r="A8" s="18" t="n">
        <x:v>1</x:v>
      </x:c>
      <x:c r="B8" s="17" t="n">
        <x:v>0.16759439386493727</x:v>
      </x:c>
      <x:c r="C8" s="17" t="n">
        <x:v>-0.5719912584322726</x:v>
      </x:c>
      <x:c r="D8" s="18" t="n">
        <x:v>0</x:v>
      </x:c>
      <x:c r="E8" s="17" t="n">
        <x:v>0.161512561166435</x:v>
      </x:c>
      <x:c r="F8" s="18" t="n">
        <x:v>10</x:v>
      </x:c>
      <x:c r="G8" s="17" t="n">
        <x:v>0.15561578711467652</x:v>
      </x:c>
      <x:c r="H8" s="11" t="n">
        <x:f>1/G8</x:f>
        <x:v>6.426083230636999</x:v>
      </x:c>
      <x:c r="I8" s="17" t="n">
        <x:v>6.402861793097598</x:v>
      </x:c>
      <x:c r="J8" s="11" t="n">
        <x:f>I8/H8</x:f>
        <x:v>0.9963863777193719</x:v>
      </x:c>
      <x:c r="K8" s="16" t="n">
        <x:f>COUNTIFS($J$8:$J$437,"&gt;"&amp;J8)+COUNTIFS($J$8:J8,J8)</x:f>
        <x:v>325</x:v>
      </x:c>
      <x:c r="L8" s="16" t="n">
        <x:f>IF(K8&lt;='Wyniki'!$B$6,1,0)</x:f>
        <x:v>0</x:v>
      </x:c>
      <x:c r="M8" s="17" t="n">
        <x:v>0.3607496365936429</x:v>
      </x:c>
      <x:c r="N8" s="18" t="n">
        <x:v>40</x:v>
      </x:c>
      <x:c r="O8" s="17" t="n">
        <x:v>0.32659350564009204</x:v>
      </x:c>
      <x:c r="P8" s="11" t="n">
        <x:f>1/O8</x:f>
        <x:v>3.061910242336557</x:v>
      </x:c>
      <x:c r="Q8" s="17" t="n">
        <x:v>3.120594910038899</x:v>
      </x:c>
      <x:c r="R8" s="11" t="n">
        <x:f>Q8/P8</x:f>
        <x:v>1.0191660313522317</x:v>
      </x:c>
      <x:c r="S8" s="16" t="n">
        <x:f>COUNTIFS($R$8:$R$437,"&gt;"&amp;R8)+COUNTIFS($R$8:R8,R8)</x:f>
        <x:v>242</x:v>
      </x:c>
      <x:c r="T8" s="16" t="n">
        <x:f>IF(S8&lt;='Wyniki'!$B$6,1,0)</x:f>
        <x:v>0</x:v>
      </x:c>
    </x:row>
    <x:row r="9" ht="22" customHeight="1">
      <x:c r="A9" s="18" t="n">
        <x:v>2</x:v>
      </x:c>
      <x:c r="B9" s="17" t="n">
        <x:v>0.4127481576935515</x:v>
      </x:c>
      <x:c r="C9" s="17" t="n">
        <x:v>0.5173105940151677</x:v>
      </x:c>
      <x:c r="D9" s="18" t="n">
        <x:v>0</x:v>
      </x:c>
      <x:c r="E9" s="17" t="n">
        <x:v>0.1671107586462635</x:v>
      </x:c>
      <x:c r="F9" s="18" t="n">
        <x:v>10</x:v>
      </x:c>
      <x:c r="G9" s="17" t="n">
        <x:v>0.17646918144817217</x:v>
      </x:c>
      <x:c r="H9" s="11" t="n">
        <x:f>1/G9</x:f>
        <x:v>5.666711840524366</x:v>
      </x:c>
      <x:c r="I9" s="17" t="n">
        <x:v>6.235206157487736</x:v>
      </x:c>
      <x:c r="J9" s="11" t="n">
        <x:f>I9/H9</x:f>
        <x:v>1.1003217267724636</x:v>
      </x:c>
      <x:c r="K9" s="16" t="n">
        <x:f>COUNTIFS($J$8:$J$437,"&gt;"&amp;J9)+COUNTIFS($J$8:J9,J9)</x:f>
        <x:v>115</x:v>
      </x:c>
      <x:c r="L9" s="16" t="n">
        <x:f>IF(K9&lt;='Wyniki'!$B$6,1,0)</x:f>
        <x:v>0</x:v>
      </x:c>
      <x:c r="M9" s="17" t="n">
        <x:v>0.3382980285543632</x:v>
      </x:c>
      <x:c r="N9" s="18" t="n">
        <x:v>40</x:v>
      </x:c>
      <x:c r="O9" s="17" t="n">
        <x:v>0.3320147949083745</x:v>
      </x:c>
      <x:c r="P9" s="11" t="n">
        <x:f>1/O9</x:f>
        <x:v>3.011913972917888</x:v>
      </x:c>
      <x:c r="Q9" s="17" t="n">
        <x:v>3.1963997820035743</x:v>
      </x:c>
      <x:c r="R9" s="11" t="n">
        <x:f>Q9/P9</x:f>
        <x:v>1.0612520180670897</x:v>
      </x:c>
      <x:c r="S9" s="16" t="n">
        <x:f>COUNTIFS($R$8:$R$437,"&gt;"&amp;R9)+COUNTIFS($R$8:R9,R9)</x:f>
        <x:v>184</x:v>
      </x:c>
      <x:c r="T9" s="16" t="n">
        <x:f>IF(S9&lt;='Wyniki'!$B$6,1,0)</x:f>
        <x:v>0</x:v>
      </x:c>
    </x:row>
    <x:row r="10" ht="22" customHeight="1">
      <x:c r="A10" s="18" t="n">
        <x:v>3</x:v>
      </x:c>
      <x:c r="B10" s="17" t="n">
        <x:v>-1.07306935375961</x:v>
      </x:c>
      <x:c r="C10" s="17" t="n">
        <x:v>-0.716198728774275</x:v>
      </x:c>
      <x:c r="D10" s="18" t="n">
        <x:v>0</x:v>
      </x:c>
      <x:c r="E10" s="17" t="n">
        <x:v>0.3075870241344013</x:v>
      </x:c>
      <x:c r="F10" s="18" t="n">
        <x:v>10</x:v>
      </x:c>
      <x:c r="G10" s="17" t="n">
        <x:v>0.3631103333288877</x:v>
      </x:c>
      <x:c r="H10" s="11" t="n">
        <x:f>1/G10</x:f>
        <x:v>2.7539838671962236</x:v>
      </x:c>
      <x:c r="I10" s="17" t="n">
        <x:v>3.027740504754201</x:v>
      </x:c>
      <x:c r="J10" s="11" t="n">
        <x:f>I10/H10</x:f>
        <x:v>1.0994038639146728</x:v>
      </x:c>
      <x:c r="K10" s="16" t="n">
        <x:f>COUNTIFS($J$8:$J$437,"&gt;"&amp;J10)+COUNTIFS($J$8:J10,J10)</x:f>
        <x:v>117</x:v>
      </x:c>
      <x:c r="L10" s="16" t="n">
        <x:f>IF(K10&lt;='Wyniki'!$B$6,1,0)</x:f>
        <x:v>0</x:v>
      </x:c>
      <x:c r="M10" s="17" t="n">
        <x:v>0.661671621448227</x:v>
      </x:c>
      <x:c r="N10" s="18" t="n">
        <x:v>40</x:v>
      </x:c>
      <x:c r="O10" s="17" t="n">
        <x:v>0.610362529350157</x:v>
      </x:c>
      <x:c r="P10" s="11" t="n">
        <x:f>1/O10</x:f>
        <x:v>1.6383705616147237</x:v>
      </x:c>
      <x:c r="Q10" s="17" t="n">
        <x:v>2.155021774119313</x:v>
      </x:c>
      <x:c r="R10" s="11" t="n">
        <x:f>Q10/P10</x:f>
        <x:v>1.3153445408561266</x:v>
      </x:c>
      <x:c r="S10" s="16" t="n">
        <x:f>COUNTIFS($R$8:$R$437,"&gt;"&amp;R10)+COUNTIFS($R$8:R10,R10)</x:f>
        <x:v>80</x:v>
      </x:c>
      <x:c r="T10" s="16" t="n">
        <x:f>IF(S10&lt;='Wyniki'!$B$6,1,0)</x:f>
        <x:v>0</x:v>
      </x:c>
    </x:row>
    <x:row r="11" ht="22" customHeight="1">
      <x:c r="A11" s="18" t="n">
        <x:v>4</x:v>
      </x:c>
      <x:c r="B11" s="17" t="n">
        <x:v>0.07031222174200696</x:v>
      </x:c>
      <x:c r="C11" s="17" t="n">
        <x:v>-0.17393342578897023</x:v>
      </x:c>
      <x:c r="D11" s="18" t="n">
        <x:v>0</x:v>
      </x:c>
      <x:c r="E11" s="17" t="n">
        <x:v>0.1212239379677389</x:v>
      </x:c>
      <x:c r="F11" s="18" t="n">
        <x:v>10</x:v>
      </x:c>
      <x:c r="G11" s="17" t="n">
        <x:v>0.13319122244542494</x:v>
      </x:c>
      <x:c r="H11" s="11" t="n">
        <x:f>1/G11</x:f>
        <x:v>7.508002266513843</x:v>
      </x:c>
      <x:c r="I11" s="17" t="n">
        <x:v>7.634183204613352</x:v>
      </x:c>
      <x:c r="J11" s="11" t="n">
        <x:f>I11/H11</x:f>
        <x:v>1.016806193394784</x:v>
      </x:c>
      <x:c r="K11" s="16" t="n">
        <x:f>COUNTIFS($J$8:$J$437,"&gt;"&amp;J11)+COUNTIFS($J$8:J11,J11)</x:f>
        <x:v>248</x:v>
      </x:c>
      <x:c r="L11" s="16" t="n">
        <x:f>IF(K11&lt;='Wyniki'!$B$6,1,0)</x:f>
        <x:v>0</x:v>
      </x:c>
      <x:c r="M11" s="17" t="n">
        <x:v>0.2705282230791497</x:v>
      </x:c>
      <x:c r="N11" s="18" t="n">
        <x:v>40</x:v>
      </x:c>
      <x:c r="O11" s="17" t="n">
        <x:v>0.2696100182001233</x:v>
      </x:c>
      <x:c r="P11" s="11" t="n">
        <x:f>1/O11</x:f>
        <x:v>3.709060986219475</x:v>
      </x:c>
      <x:c r="Q11" s="17" t="n">
        <x:v>3.632264187085204</x:v>
      </x:c>
      <x:c r="R11" s="11" t="n">
        <x:f>Q11/P11</x:f>
        <x:v>0.979294813587698</x:v>
      </x:c>
      <x:c r="S11" s="16" t="n">
        <x:f>COUNTIFS($R$8:$R$437,"&gt;"&amp;R11)+COUNTIFS($R$8:R11,R11)</x:f>
        <x:v>391</x:v>
      </x:c>
      <x:c r="T11" s="16" t="n">
        <x:f>IF(S11&lt;='Wyniki'!$B$6,1,0)</x:f>
        <x:v>0</x:v>
      </x:c>
    </x:row>
    <x:row r="12" ht="22" customHeight="1">
      <x:c r="A12" s="18" t="n">
        <x:v>5</x:v>
      </x:c>
      <x:c r="B12" s="17" t="n">
        <x:v>-0.009240636627358838</x:v>
      </x:c>
      <x:c r="C12" s="17" t="n">
        <x:v>-0.4691741601654691</x:v>
      </x:c>
      <x:c r="D12" s="18" t="n">
        <x:v>0</x:v>
      </x:c>
      <x:c r="E12" s="17" t="n">
        <x:v>0.14825654631387758</x:v>
      </x:c>
      <x:c r="F12" s="18" t="n">
        <x:v>10</x:v>
      </x:c>
      <x:c r="G12" s="17" t="n">
        <x:v>0.1468696739440356</x:v>
      </x:c>
      <x:c r="H12" s="11" t="n">
        <x:f>1/G12</x:f>
        <x:v>6.8087575409273935</x:v>
      </x:c>
      <x:c r="I12" s="17" t="n">
        <x:v>6.739769639834812</x:v>
      </x:c>
      <x:c r="J12" s="11" t="n">
        <x:f>I12/H12</x:f>
        <x:v>0.9898677694604492</x:v>
      </x:c>
      <x:c r="K12" s="16" t="n">
        <x:f>COUNTIFS($J$8:$J$437,"&gt;"&amp;J12)+COUNTIFS($J$8:J12,J12)</x:f>
        <x:v>349</x:v>
      </x:c>
      <x:c r="L12" s="16" t="n">
        <x:f>IF(K12&lt;='Wyniki'!$B$6,1,0)</x:f>
        <x:v>0</x:v>
      </x:c>
      <x:c r="M12" s="17" t="n">
        <x:v>0.30497469225437485</x:v>
      </x:c>
      <x:c r="N12" s="18" t="n">
        <x:v>40</x:v>
      </x:c>
      <x:c r="O12" s="17" t="n">
        <x:v>0.31109758276987537</x:v>
      </x:c>
      <x:c r="P12" s="11" t="n">
        <x:f>1/O12</x:f>
        <x:v>3.214425490215777</x:v>
      </x:c>
      <x:c r="Q12" s="17" t="n">
        <x:v>3.1838112113763954</x:v>
      </x:c>
      <x:c r="R12" s="11" t="n">
        <x:f>Q12/P12</x:f>
        <x:v>0.9904759718548254</x:v>
      </x:c>
      <x:c r="S12" s="16" t="n">
        <x:f>COUNTIFS($R$8:$R$437,"&gt;"&amp;R12)+COUNTIFS($R$8:R12,R12)</x:f>
        <x:v>344</x:v>
      </x:c>
      <x:c r="T12" s="16" t="n">
        <x:f>IF(S12&lt;='Wyniki'!$B$6,1,0)</x:f>
        <x:v>0</x:v>
      </x:c>
    </x:row>
    <x:row r="13" ht="22" customHeight="1">
      <x:c r="A13" s="18" t="n">
        <x:v>6</x:v>
      </x:c>
      <x:c r="B13" s="17" t="n">
        <x:v>0.4836688861745557</x:v>
      </x:c>
      <x:c r="C13" s="17" t="n">
        <x:v>0.4277855644859216</x:v>
      </x:c>
      <x:c r="D13" s="18" t="n">
        <x:v>0</x:v>
      </x:c>
      <x:c r="E13" s="17" t="n">
        <x:v>0.1611985664001209</x:v>
      </x:c>
      <x:c r="F13" s="18" t="n">
        <x:v>10</x:v>
      </x:c>
      <x:c r="G13" s="17" t="n">
        <x:v>0.15618670042436988</x:v>
      </x:c>
      <x:c r="H13" s="11" t="n">
        <x:f>1/G13</x:f>
        <x:v>6.402593801411593</x:v>
      </x:c>
      <x:c r="I13" s="17" t="n">
        <x:v>6.671585335185297</x:v>
      </x:c>
      <x:c r="J13" s="11" t="n">
        <x:f>I13/H13</x:f>
        <x:v>1.0420129001022054</x:v>
      </x:c>
      <x:c r="K13" s="16" t="n">
        <x:f>COUNTIFS($J$8:$J$437,"&gt;"&amp;J13)+COUNTIFS($J$8:J13,J13)</x:f>
        <x:v>190</x:v>
      </x:c>
      <x:c r="L13" s="16" t="n">
        <x:f>IF(K13&lt;='Wyniki'!$B$6,1,0)</x:f>
        <x:v>0</x:v>
      </x:c>
      <x:c r="M13" s="17" t="n">
        <x:v>0.313000314446359</x:v>
      </x:c>
      <x:c r="N13" s="18" t="n">
        <x:v>40</x:v>
      </x:c>
      <x:c r="O13" s="17" t="n">
        <x:v>0.3087446770629693</x:v>
      </x:c>
      <x:c r="P13" s="11" t="n">
        <x:f>1/O13</x:f>
        <x:v>3.238922236693484</x:v>
      </x:c>
      <x:c r="Q13" s="17" t="n">
        <x:v>3.3216226006450085</x:v>
      </x:c>
      <x:c r="R13" s="11" t="n">
        <x:f>Q13/P13</x:f>
        <x:v>1.0255332971612034</x:v>
      </x:c>
      <x:c r="S13" s="16" t="n">
        <x:f>COUNTIFS($R$8:$R$437,"&gt;"&amp;R13)+COUNTIFS($R$8:R13,R13)</x:f>
        <x:v>231</x:v>
      </x:c>
      <x:c r="T13" s="16" t="n">
        <x:f>IF(S13&lt;='Wyniki'!$B$6,1,0)</x:f>
        <x:v>0</x:v>
      </x:c>
    </x:row>
    <x:row r="14" ht="22" customHeight="1">
      <x:c r="A14" s="18" t="n">
        <x:v>7</x:v>
      </x:c>
      <x:c r="B14" s="17" t="n">
        <x:v>0.03631688365866883</x:v>
      </x:c>
      <x:c r="C14" s="17" t="n">
        <x:v>0.6199826638324182</x:v>
      </x:c>
      <x:c r="D14" s="18" t="n">
        <x:v>0</x:v>
      </x:c>
      <x:c r="E14" s="17" t="n">
        <x:v>0.17268470476766642</x:v>
      </x:c>
      <x:c r="F14" s="18" t="n">
        <x:v>10</x:v>
      </x:c>
      <x:c r="G14" s="17" t="n">
        <x:v>0.16319393679435426</x:v>
      </x:c>
      <x:c r="H14" s="11" t="n">
        <x:f>1/G14</x:f>
        <x:v>6.127678635880517</x:v>
      </x:c>
      <x:c r="I14" s="17" t="n">
        <x:v>6.109128084438814</x:v>
      </x:c>
      <x:c r="J14" s="11" t="n">
        <x:f>I14/H14</x:f>
        <x:v>0.9969726624805224</x:v>
      </x:c>
      <x:c r="K14" s="16" t="n">
        <x:f>COUNTIFS($J$8:$J$437,"&gt;"&amp;J14)+COUNTIFS($J$8:J14,J14)</x:f>
        <x:v>322</x:v>
      </x:c>
      <x:c r="L14" s="16" t="n">
        <x:f>IF(K14&lt;='Wyniki'!$B$6,1,0)</x:f>
        <x:v>0</x:v>
      </x:c>
      <x:c r="M14" s="17" t="n">
        <x:v>0.30794525566247494</x:v>
      </x:c>
      <x:c r="N14" s="18" t="n">
        <x:v>40</x:v>
      </x:c>
      <x:c r="O14" s="17" t="n">
        <x:v>0.36172660677377044</x:v>
      </x:c>
      <x:c r="P14" s="11" t="n">
        <x:f>1/O14</x:f>
        <x:v>2.7645187864917435</x:v>
      </x:c>
      <x:c r="Q14" s="17" t="n">
        <x:v>2.8525962994885097</x:v>
      </x:c>
      <x:c r="R14" s="11" t="n">
        <x:f>Q14/P14</x:f>
        <x:v>1.0318599799093928</x:v>
      </x:c>
      <x:c r="S14" s="16" t="n">
        <x:f>COUNTIFS($R$8:$R$437,"&gt;"&amp;R14)+COUNTIFS($R$8:R14,R14)</x:f>
        <x:v>223</x:v>
      </x:c>
      <x:c r="T14" s="16" t="n">
        <x:f>IF(S14&lt;='Wyniki'!$B$6,1,0)</x:f>
        <x:v>0</x:v>
      </x:c>
    </x:row>
    <x:row r="15" ht="22" customHeight="1">
      <x:c r="A15" s="18" t="n">
        <x:v>8</x:v>
      </x:c>
      <x:c r="B15" s="17" t="n">
        <x:v>0.2571301382386251</x:v>
      </x:c>
      <x:c r="C15" s="17" t="n">
        <x:v>-0.47261085458578106</x:v>
      </x:c>
      <x:c r="D15" s="18" t="n">
        <x:v>0</x:v>
      </x:c>
      <x:c r="E15" s="17" t="n">
        <x:v>0.15718802642851545</x:v>
      </x:c>
      <x:c r="F15" s="18" t="n">
        <x:v>10</x:v>
      </x:c>
      <x:c r="G15" s="17" t="n">
        <x:v>0.15951849588677594</x:v>
      </x:c>
      <x:c r="H15" s="11" t="n">
        <x:f>1/G15</x:f>
        <x:v>6.268865528357203</x:v>
      </x:c>
      <x:c r="I15" s="17" t="n">
        <x:v>6.442786223610119</x:v>
      </x:c>
      <x:c r="J15" s="11" t="n">
        <x:f>I15/H15</x:f>
        <x:v>1.0277435677103275</x:v>
      </x:c>
      <x:c r="K15" s="16" t="n">
        <x:f>COUNTIFS($J$8:$J$437,"&gt;"&amp;J15)+COUNTIFS($J$8:J15,J15)</x:f>
        <x:v>225</x:v>
      </x:c>
      <x:c r="L15" s="16" t="n">
        <x:f>IF(K15&lt;='Wyniki'!$B$6,1,0)</x:f>
        <x:v>0</x:v>
      </x:c>
      <x:c r="M15" s="17" t="n">
        <x:v>0.32773098031379244</x:v>
      </x:c>
      <x:c r="N15" s="18" t="n">
        <x:v>40</x:v>
      </x:c>
      <x:c r="O15" s="17" t="n">
        <x:v>0.32287367564962777</x:v>
      </x:c>
      <x:c r="P15" s="11" t="n">
        <x:f>1/O15</x:f>
        <x:v>3.097186532745296</x:v>
      </x:c>
      <x:c r="Q15" s="17" t="n">
        <x:v>3.1864601580026326</x:v>
      </x:c>
      <x:c r="R15" s="11" t="n">
        <x:f>Q15/P15</x:f>
        <x:v>1.0288241035254038</x:v>
      </x:c>
      <x:c r="S15" s="16" t="n">
        <x:f>COUNTIFS($R$8:$R$437,"&gt;"&amp;R15)+COUNTIFS($R$8:R15,R15)</x:f>
        <x:v>228</x:v>
      </x:c>
      <x:c r="T15" s="16" t="n">
        <x:f>IF(S15&lt;='Wyniki'!$B$6,1,0)</x:f>
        <x:v>0</x:v>
      </x:c>
    </x:row>
    <x:row r="16" ht="22" customHeight="1">
      <x:c r="A16" s="18" t="n">
        <x:v>9</x:v>
      </x:c>
      <x:c r="B16" s="17" t="n">
        <x:v>0.2028129312453744</x:v>
      </x:c>
      <x:c r="C16" s="17" t="n">
        <x:v>-0.5273854304559494</x:v>
      </x:c>
      <x:c r="D16" s="18" t="n">
        <x:v>0</x:v>
      </x:c>
      <x:c r="E16" s="17" t="n">
        <x:v>0.1661686090262591</x:v>
      </x:c>
      <x:c r="F16" s="18" t="n">
        <x:v>10</x:v>
      </x:c>
      <x:c r="G16" s="17" t="n">
        <x:v>0.15439756008703495</x:v>
      </x:c>
      <x:c r="H16" s="11" t="n">
        <x:f>1/G16</x:f>
        <x:v>6.476786287531313</x:v>
      </x:c>
      <x:c r="I16" s="17" t="n">
        <x:v>6.462332311133338</x:v>
      </x:c>
      <x:c r="J16" s="11" t="n">
        <x:f>I16/H16</x:f>
        <x:v>0.997768341310597</x:v>
      </x:c>
      <x:c r="K16" s="16" t="n">
        <x:f>COUNTIFS($J$8:$J$437,"&gt;"&amp;J16)+COUNTIFS($J$8:J16,J16)</x:f>
        <x:v>320</x:v>
      </x:c>
      <x:c r="L16" s="16" t="n">
        <x:f>IF(K16&lt;='Wyniki'!$B$6,1,0)</x:f>
        <x:v>0</x:v>
      </x:c>
      <x:c r="M16" s="17" t="n">
        <x:v>0.34514463630135883</x:v>
      </x:c>
      <x:c r="N16" s="18" t="n">
        <x:v>40</x:v>
      </x:c>
      <x:c r="O16" s="17" t="n">
        <x:v>0.3229177426117178</x:v>
      </x:c>
      <x:c r="P16" s="11" t="n">
        <x:f>1/O16</x:f>
        <x:v>3.0967638752585307</x:v>
      </x:c>
      <x:c r="Q16" s="17" t="n">
        <x:v>3.193739528800005</x:v>
      </x:c>
      <x:c r="R16" s="11" t="n">
        <x:f>Q16/P16</x:f>
        <x:v>1.031315159129909</x:v>
      </x:c>
      <x:c r="S16" s="16" t="n">
        <x:f>COUNTIFS($R$8:$R$437,"&gt;"&amp;R16)+COUNTIFS($R$8:R16,R16)</x:f>
        <x:v>224</x:v>
      </x:c>
      <x:c r="T16" s="16" t="n">
        <x:f>IF(S16&lt;='Wyniki'!$B$6,1,0)</x:f>
        <x:v>0</x:v>
      </x:c>
    </x:row>
    <x:row r="17" ht="22" customHeight="1">
      <x:c r="A17" s="18" t="n">
        <x:v>10</x:v>
      </x:c>
      <x:c r="B17" s="17" t="n">
        <x:v>0.4831476657189999</x:v>
      </x:c>
      <x:c r="C17" s="17" t="n">
        <x:v>-0.027459251042439094</x:v>
      </x:c>
      <x:c r="D17" s="18" t="n">
        <x:v>0</x:v>
      </x:c>
      <x:c r="E17" s="17" t="n">
        <x:v>0.15361245888539052</x:v>
      </x:c>
      <x:c r="F17" s="18" t="n">
        <x:v>10</x:v>
      </x:c>
      <x:c r="G17" s="17" t="n">
        <x:v>0.1486466171131098</x:v>
      </x:c>
      <x:c r="H17" s="11" t="n">
        <x:f>1/G17</x:f>
        <x:v>6.727364668104549</x:v>
      </x:c>
      <x:c r="I17" s="17" t="n">
        <x:v>7.186198629519453</x:v>
      </x:c>
      <x:c r="J17" s="11" t="n">
        <x:f>I17/H17</x:f>
        <x:v>1.0682041161809326</x:v>
      </x:c>
      <x:c r="K17" s="16" t="n">
        <x:f>COUNTIFS($J$8:$J$437,"&gt;"&amp;J17)+COUNTIFS($J$8:J17,J17)</x:f>
        <x:v>150</x:v>
      </x:c>
      <x:c r="L17" s="16" t="n">
        <x:f>IF(K17&lt;='Wyniki'!$B$6,1,0)</x:f>
        <x:v>0</x:v>
      </x:c>
      <x:c r="M17" s="17" t="n">
        <x:v>0.28118662038111186</x:v>
      </x:c>
      <x:c r="N17" s="18" t="n">
        <x:v>40</x:v>
      </x:c>
      <x:c r="O17" s="17" t="n">
        <x:v>0.29932042171626394</x:v>
      </x:c>
      <x:c r="P17" s="11" t="n">
        <x:f>1/O17</x:f>
        <x:v>3.340901346677689</x:v>
      </x:c>
      <x:c r="Q17" s="17" t="n">
        <x:v>3.353298548303279</x:v>
      </x:c>
      <x:c r="R17" s="11" t="n">
        <x:f>Q17/P17</x:f>
        <x:v>1.0037107356186732</x:v>
      </x:c>
      <x:c r="S17" s="16" t="n">
        <x:f>COUNTIFS($R$8:$R$437,"&gt;"&amp;R17)+COUNTIFS($R$8:R17,R17)</x:f>
        <x:v>296</x:v>
      </x:c>
      <x:c r="T17" s="16" t="n">
        <x:f>IF(S17&lt;='Wyniki'!$B$6,1,0)</x:f>
        <x:v>0</x:v>
      </x:c>
    </x:row>
    <x:row r="18" ht="22" customHeight="1">
      <x:c r="A18" s="18" t="n">
        <x:v>11</x:v>
      </x:c>
      <x:c r="B18" s="17" t="n">
        <x:v>-0.10167429994989331</x:v>
      </x:c>
      <x:c r="C18" s="17" t="n">
        <x:v>-0.3745112494221678</x:v>
      </x:c>
      <x:c r="D18" s="18" t="n">
        <x:v>0</x:v>
      </x:c>
      <x:c r="E18" s="17" t="n">
        <x:v>0.1604946209723767</x:v>
      </x:c>
      <x:c r="F18" s="18" t="n">
        <x:v>10</x:v>
      </x:c>
      <x:c r="G18" s="17" t="n">
        <x:v>0.15276362390798526</x:v>
      </x:c>
      <x:c r="H18" s="11" t="n">
        <x:f>1/G18</x:f>
        <x:v>6.546060995530809</x:v>
      </x:c>
      <x:c r="I18" s="17" t="n">
        <x:v>6.686751412376831</x:v>
      </x:c>
      <x:c r="J18" s="11" t="n">
        <x:f>I18/H18</x:f>
        <x:v>1.0214923779265233</x:v>
      </x:c>
      <x:c r="K18" s="16" t="n">
        <x:f>COUNTIFS($J$8:$J$437,"&gt;"&amp;J18)+COUNTIFS($J$8:J18,J18)</x:f>
        <x:v>240</x:v>
      </x:c>
      <x:c r="L18" s="16" t="n">
        <x:f>IF(K18&lt;='Wyniki'!$B$6,1,0)</x:f>
        <x:v>0</x:v>
      </x:c>
      <x:c r="M18" s="17" t="n">
        <x:v>0.2915384520574796</x:v>
      </x:c>
      <x:c r="N18" s="18" t="n">
        <x:v>40</x:v>
      </x:c>
      <x:c r="O18" s="17" t="n">
        <x:v>0.29521414138343066</x:v>
      </x:c>
      <x:c r="P18" s="11" t="n">
        <x:f>1/O18</x:f>
        <x:v>3.3873716052822074</x:v>
      </x:c>
      <x:c r="Q18" s="17" t="n">
        <x:v>3.3336214419304566</x:v>
      </x:c>
      <x:c r="R18" s="11" t="n">
        <x:f>Q18/P18</x:f>
        <x:v>0.9841321916768938</x:v>
      </x:c>
      <x:c r="S18" s="16" t="n">
        <x:f>COUNTIFS($R$8:$R$437,"&gt;"&amp;R18)+COUNTIFS($R$8:R18,R18)</x:f>
        <x:v>372</x:v>
      </x:c>
      <x:c r="T18" s="16" t="n">
        <x:f>IF(S18&lt;='Wyniki'!$B$6,1,0)</x:f>
        <x:v>0</x:v>
      </x:c>
    </x:row>
    <x:row r="19" ht="22" customHeight="1">
      <x:c r="A19" s="18" t="n">
        <x:v>12</x:v>
      </x:c>
      <x:c r="B19" s="17" t="n">
        <x:v>0.6723977362707166</x:v>
      </x:c>
      <x:c r="C19" s="17" t="n">
        <x:v>-0.08499121513784119</x:v>
      </x:c>
      <x:c r="D19" s="18" t="n">
        <x:v>0</x:v>
      </x:c>
      <x:c r="E19" s="17" t="n">
        <x:v>0.20237392689932976</x:v>
      </x:c>
      <x:c r="F19" s="18" t="n">
        <x:v>10</x:v>
      </x:c>
      <x:c r="G19" s="17" t="n">
        <x:v>0.19679690810374104</x:v>
      </x:c>
      <x:c r="H19" s="11" t="n">
        <x:f>1/G19</x:f>
        <x:v>5.081380645842526</x:v>
      </x:c>
      <x:c r="I19" s="17" t="n">
        <x:v>5.588168722338308</x:v>
      </x:c>
      <x:c r="J19" s="11" t="n">
        <x:f>I19/H19</x:f>
        <x:v>1.099734326518212</x:v>
      </x:c>
      <x:c r="K19" s="16" t="n">
        <x:f>COUNTIFS($J$8:$J$437,"&gt;"&amp;J19)+COUNTIFS($J$8:J19,J19)</x:f>
        <x:v>116</x:v>
      </x:c>
      <x:c r="L19" s="16" t="n">
        <x:f>IF(K19&lt;='Wyniki'!$B$6,1,0)</x:f>
        <x:v>0</x:v>
      </x:c>
      <x:c r="M19" s="17" t="n">
        <x:v>0.3493508542602471</x:v>
      </x:c>
      <x:c r="N19" s="18" t="n">
        <x:v>40</x:v>
      </x:c>
      <x:c r="O19" s="17" t="n">
        <x:v>0.3605737219635691</x:v>
      </x:c>
      <x:c r="P19" s="11" t="n">
        <x:f>1/O19</x:f>
        <x:v>2.773357954524029</x:v>
      </x:c>
      <x:c r="Q19" s="17" t="n">
        <x:v>3.0142774059583735</x:v>
      </x:c>
      <x:c r="R19" s="11" t="n">
        <x:f>Q19/P19</x:f>
        <x:v>1.086869223297103</x:v>
      </x:c>
      <x:c r="S19" s="16" t="n">
        <x:f>COUNTIFS($R$8:$R$437,"&gt;"&amp;R19)+COUNTIFS($R$8:R19,R19)</x:f>
        <x:v>161</x:v>
      </x:c>
      <x:c r="T19" s="16" t="n">
        <x:f>IF(S19&lt;='Wyniki'!$B$6,1,0)</x:f>
        <x:v>0</x:v>
      </x:c>
    </x:row>
    <x:row r="20" ht="22" customHeight="1">
      <x:c r="A20" s="18" t="n">
        <x:v>13</x:v>
      </x:c>
      <x:c r="B20" s="17" t="n">
        <x:v>-0.235580302189709</x:v>
      </x:c>
      <x:c r="C20" s="17" t="n">
        <x:v>-0.1936734527685263</x:v>
      </x:c>
      <x:c r="D20" s="18" t="n">
        <x:v>0</x:v>
      </x:c>
      <x:c r="E20" s="17" t="n">
        <x:v>0.15403609789367553</x:v>
      </x:c>
      <x:c r="F20" s="18" t="n">
        <x:v>10</x:v>
      </x:c>
      <x:c r="G20" s="17" t="n">
        <x:v>0.15582410471304667</x:v>
      </x:c>
      <x:c r="H20" s="11" t="n">
        <x:f>1/G20</x:f>
        <x:v>6.417492350374936</x:v>
      </x:c>
      <x:c r="I20" s="17" t="n">
        <x:v>6.680759933594723</x:v>
      </x:c>
      <x:c r="J20" s="11" t="n">
        <x:f>I20/H20</x:f>
        <x:v>1.0410234354551908</x:v>
      </x:c>
      <x:c r="K20" s="16" t="n">
        <x:f>COUNTIFS($J$8:$J$437,"&gt;"&amp;J20)+COUNTIFS($J$8:J20,J20)</x:f>
        <x:v>194</x:v>
      </x:c>
      <x:c r="L20" s="16" t="n">
        <x:f>IF(K20&lt;='Wyniki'!$B$6,1,0)</x:f>
        <x:v>0</x:v>
      </x:c>
      <x:c r="M20" s="17" t="n">
        <x:v>0.29404051147780375</x:v>
      </x:c>
      <x:c r="N20" s="18" t="n">
        <x:v>40</x:v>
      </x:c>
      <x:c r="O20" s="17" t="n">
        <x:v>0.2948477034174199</x:v>
      </x:c>
      <x:c r="P20" s="11" t="n">
        <x:f>1/O20</x:f>
        <x:v>3.391581444961389</x:v>
      </x:c>
      <x:c r="Q20" s="17" t="n">
        <x:v>3.4326414926046924</x:v>
      </x:c>
      <x:c r="R20" s="11" t="n">
        <x:f>Q20/P20</x:f>
        <x:v>1.0121064607498378</x:v>
      </x:c>
      <x:c r="S20" s="16" t="n">
        <x:f>COUNTIFS($R$8:$R$437,"&gt;"&amp;R20)+COUNTIFS($R$8:R20,R20)</x:f>
        <x:v>258</x:v>
      </x:c>
      <x:c r="T20" s="16" t="n">
        <x:f>IF(S20&lt;='Wyniki'!$B$6,1,0)</x:f>
        <x:v>0</x:v>
      </x:c>
    </x:row>
    <x:row r="21" ht="22" customHeight="1">
      <x:c r="A21" s="18" t="n">
        <x:v>14</x:v>
      </x:c>
      <x:c r="B21" s="17" t="n">
        <x:v>0.2927700520543418</x:v>
      </x:c>
      <x:c r="C21" s="17" t="n">
        <x:v>0.2009942354002431</x:v>
      </x:c>
      <x:c r="D21" s="18" t="n">
        <x:v>0</x:v>
      </x:c>
      <x:c r="E21" s="17" t="n">
        <x:v>0.12084058508307458</x:v>
      </x:c>
      <x:c r="F21" s="18" t="n">
        <x:v>10</x:v>
      </x:c>
      <x:c r="G21" s="17" t="n">
        <x:v>0.12828516340342355</x:v>
      </x:c>
      <x:c r="H21" s="11" t="n">
        <x:f>1/G21</x:f>
        <x:v>7.7951336964451565</x:v>
      </x:c>
      <x:c r="I21" s="17" t="n">
        <x:v>7.8884731090569975</x:v>
      </x:c>
      <x:c r="J21" s="11" t="n">
        <x:f>I21/H21</x:f>
        <x:v>1.0119740617988895</x:v>
      </x:c>
      <x:c r="K21" s="16" t="n">
        <x:f>COUNTIFS($J$8:$J$437,"&gt;"&amp;J21)+COUNTIFS($J$8:J21,J21)</x:f>
        <x:v>260</x:v>
      </x:c>
      <x:c r="L21" s="16" t="n">
        <x:f>IF(K21&lt;='Wyniki'!$B$6,1,0)</x:f>
        <x:v>0</x:v>
      </x:c>
      <x:c r="M21" s="17" t="n">
        <x:v>0.2602280279232634</x:v>
      </x:c>
      <x:c r="N21" s="18" t="n">
        <x:v>40</x:v>
      </x:c>
      <x:c r="O21" s="17" t="n">
        <x:v>0.26472812507057164</x:v>
      </x:c>
      <x:c r="P21" s="11" t="n">
        <x:f>1/O21</x:f>
        <x:v>3.7774603651705627</x:v>
      </x:c>
      <x:c r="Q21" s="17" t="n">
        <x:v>3.6732538122619594</x:v>
      </x:c>
      <x:c r="R21" s="11" t="n">
        <x:f>Q21/P21</x:f>
        <x:v>0.9724135946284381</x:v>
      </x:c>
      <x:c r="S21" s="16" t="n">
        <x:f>COUNTIFS($R$8:$R$437,"&gt;"&amp;R21)+COUNTIFS($R$8:R21,R21)</x:f>
        <x:v>419</x:v>
      </x:c>
      <x:c r="T21" s="16" t="n">
        <x:f>IF(S21&lt;='Wyniki'!$B$6,1,0)</x:f>
        <x:v>0</x:v>
      </x:c>
    </x:row>
    <x:row r="22" ht="22" customHeight="1">
      <x:c r="A22" s="18" t="n">
        <x:v>15</x:v>
      </x:c>
      <x:c r="B22" s="17" t="n">
        <x:v>0.22700293637779365</x:v>
      </x:c>
      <x:c r="C22" s="17" t="n">
        <x:v>0.2369515516543355</x:v>
      </x:c>
      <x:c r="D22" s="18" t="n">
        <x:v>0</x:v>
      </x:c>
      <x:c r="E22" s="17" t="n">
        <x:v>0.12953327172931464</x:v>
      </x:c>
      <x:c r="F22" s="18" t="n">
        <x:v>10</x:v>
      </x:c>
      <x:c r="G22" s="17" t="n">
        <x:v>0.13054532043433473</x:v>
      </x:c>
      <x:c r="H22" s="11" t="n">
        <x:f>1/G22</x:f>
        <x:v>7.660175000321114</x:v>
      </x:c>
      <x:c r="I22" s="17" t="n">
        <x:v>7.671000970235587</x:v>
      </x:c>
      <x:c r="J22" s="11" t="n">
        <x:f>I22/H22</x:f>
        <x:v>1.0014132797114974</x:v>
      </x:c>
      <x:c r="K22" s="16" t="n">
        <x:f>COUNTIFS($J$8:$J$437,"&gt;"&amp;J22)+COUNTIFS($J$8:J22,J22)</x:f>
        <x:v>307</x:v>
      </x:c>
      <x:c r="L22" s="16" t="n">
        <x:f>IF(K22&lt;='Wyniki'!$B$6,1,0)</x:f>
        <x:v>0</x:v>
      </x:c>
      <x:c r="M22" s="17" t="n">
        <x:v>0.24576806074456312</x:v>
      </x:c>
      <x:c r="N22" s="18" t="n">
        <x:v>40</x:v>
      </x:c>
      <x:c r="O22" s="17" t="n">
        <x:v>0.26433861913366496</x:v>
      </x:c>
      <x:c r="P22" s="11" t="n">
        <x:f>1/O22</x:f>
        <x:v>3.783026495626588</x:v>
      </x:c>
      <x:c r="Q22" s="17" t="n">
        <x:v>3.686899995037058</x:v>
      </x:c>
      <x:c r="R22" s="11" t="n">
        <x:f>Q22/P22</x:f>
        <x:v>0.9745900535720121</x:v>
      </x:c>
      <x:c r="S22" s="16" t="n">
        <x:f>COUNTIFS($R$8:$R$437,"&gt;"&amp;R22)+COUNTIFS($R$8:R22,R22)</x:f>
        <x:v>413</x:v>
      </x:c>
      <x:c r="T22" s="16" t="n">
        <x:f>IF(S22&lt;='Wyniki'!$B$6,1,0)</x:f>
        <x:v>0</x:v>
      </x:c>
    </x:row>
    <x:row r="23" ht="22" customHeight="1">
      <x:c r="A23" s="18" t="n">
        <x:v>16</x:v>
      </x:c>
      <x:c r="B23" s="17" t="n">
        <x:v>1.1779061804787538</x:v>
      </x:c>
      <x:c r="C23" s="17" t="n">
        <x:v>-0.22352825901153858</x:v>
      </x:c>
      <x:c r="D23" s="18" t="n">
        <x:v>0</x:v>
      </x:c>
      <x:c r="E23" s="17" t="n">
        <x:v>0.4587379672115568</x:v>
      </x:c>
      <x:c r="F23" s="18" t="n">
        <x:v>10</x:v>
      </x:c>
      <x:c r="G23" s="17" t="n">
        <x:v>0.37007736271873115</x:v>
      </x:c>
      <x:c r="H23" s="11" t="n">
        <x:f>1/G23</x:f>
        <x:v>2.7021377169725107</x:v>
      </x:c>
      <x:c r="I23" s="17" t="n">
        <x:v>3.557958685077561</x:v>
      </x:c>
      <x:c r="J23" s="11" t="n">
        <x:f>I23/H23</x:f>
        <x:v>1.3167199668357084</x:v>
      </x:c>
      <x:c r="K23" s="16" t="n">
        <x:f>COUNTIFS($J$8:$J$437,"&gt;"&amp;J23)+COUNTIFS($J$8:J23,J23)</x:f>
        <x:v>40</x:v>
      </x:c>
      <x:c r="L23" s="16" t="n">
        <x:f>IF(K23&lt;='Wyniki'!$B$6,1,0)</x:f>
        <x:v>0</x:v>
      </x:c>
      <x:c r="M23" s="17" t="n">
        <x:v>0.7053358395280427</x:v>
      </x:c>
      <x:c r="N23" s="18" t="n">
        <x:v>40</x:v>
      </x:c>
      <x:c r="O23" s="17" t="n">
        <x:v>0.6284981404758371</x:v>
      </x:c>
      <x:c r="P23" s="11" t="n">
        <x:f>1/O23</x:f>
        <x:v>1.591094604103201</x:v>
      </x:c>
      <x:c r="Q23" s="17" t="n">
        <x:v>2.2742406833528777</x:v>
      </x:c>
      <x:c r="R23" s="11" t="n">
        <x:f>Q23/P23</x:f>
        <x:v>1.4293560404817807</x:v>
      </x:c>
      <x:c r="S23" s="16" t="n">
        <x:f>COUNTIFS($R$8:$R$437,"&gt;"&amp;R23)+COUNTIFS($R$8:R23,R23)</x:f>
        <x:v>61</x:v>
      </x:c>
      <x:c r="T23" s="16" t="n">
        <x:f>IF(S23&lt;='Wyniki'!$B$6,1,0)</x:f>
        <x:v>0</x:v>
      </x:c>
    </x:row>
    <x:row r="24" ht="22" customHeight="1">
      <x:c r="A24" s="18" t="n">
        <x:v>17</x:v>
      </x:c>
      <x:c r="B24" s="17" t="n">
        <x:v>-0.2817335009893456</x:v>
      </x:c>
      <x:c r="C24" s="17" t="n">
        <x:v>-0.44757500053633276</x:v>
      </x:c>
      <x:c r="D24" s="18" t="n">
        <x:v>0</x:v>
      </x:c>
      <x:c r="E24" s="17" t="n">
        <x:v>0.17381198541589274</x:v>
      </x:c>
      <x:c r="F24" s="18" t="n">
        <x:v>10</x:v>
      </x:c>
      <x:c r="G24" s="17" t="n">
        <x:v>0.1626252837836189</x:v>
      </x:c>
      <x:c r="H24" s="11" t="n">
        <x:f>1/G24</x:f>
        <x:v>6.149105334263706</x:v>
      </x:c>
      <x:c r="I24" s="17" t="n">
        <x:v>6.221890897043424</x:v>
      </x:c>
      <x:c r="J24" s="11" t="n">
        <x:f>I24/H24</x:f>
        <x:v>1.011836772802402</x:v>
      </x:c>
      <x:c r="K24" s="16" t="n">
        <x:f>COUNTIFS($J$8:$J$437,"&gt;"&amp;J24)+COUNTIFS($J$8:J24,J24)</x:f>
        <x:v>262</x:v>
      </x:c>
      <x:c r="L24" s="16" t="n">
        <x:f>IF(K24&lt;='Wyniki'!$B$6,1,0)</x:f>
        <x:v>0</x:v>
      </x:c>
      <x:c r="M24" s="17" t="n">
        <x:v>0.32470187456531474</x:v>
      </x:c>
      <x:c r="N24" s="18" t="n">
        <x:v>40</x:v>
      </x:c>
      <x:c r="O24" s="17" t="n">
        <x:v>0.3308375761094802</x:v>
      </x:c>
      <x:c r="P24" s="11" t="n">
        <x:f>1/O24</x:f>
        <x:v>3.0226312614171786</x:v>
      </x:c>
      <x:c r="Q24" s="17" t="n">
        <x:v>3.0127653951520257</x:v>
      </x:c>
      <x:c r="R24" s="11" t="n">
        <x:f>Q24/P24</x:f>
        <x:v>0.9967360007186165</x:v>
      </x:c>
      <x:c r="S24" s="16" t="n">
        <x:f>COUNTIFS($R$8:$R$437,"&gt;"&amp;R24)+COUNTIFS($R$8:R24,R24)</x:f>
        <x:v>325</x:v>
      </x:c>
      <x:c r="T24" s="16" t="n">
        <x:f>IF(S24&lt;='Wyniki'!$B$6,1,0)</x:f>
        <x:v>0</x:v>
      </x:c>
    </x:row>
    <x:row r="25" ht="22" customHeight="1">
      <x:c r="A25" s="18" t="n">
        <x:v>18</x:v>
      </x:c>
      <x:c r="B25" s="17" t="n">
        <x:v>0.33878868241652266</x:v>
      </x:c>
      <x:c r="C25" s="17" t="n">
        <x:v>0.6209347609964905</x:v>
      </x:c>
      <x:c r="D25" s="18" t="n">
        <x:v>0</x:v>
      </x:c>
      <x:c r="E25" s="17" t="n">
        <x:v>0.2123410538095545</x:v>
      </x:c>
      <x:c r="F25" s="18" t="n">
        <x:v>10</x:v>
      </x:c>
      <x:c r="G25" s="17" t="n">
        <x:v>0.1894130118688228</x:v>
      </x:c>
      <x:c r="H25" s="11" t="n">
        <x:f>1/G25</x:f>
        <x:v>5.279468343455442</x:v>
      </x:c>
      <x:c r="I25" s="17" t="n">
        <x:v>5.952431111549164</x:v>
      </x:c>
      <x:c r="J25" s="11" t="n">
        <x:f>I25/H25</x:f>
        <x:v>1.127467904780212</x:v>
      </x:c>
      <x:c r="K25" s="16" t="n">
        <x:f>COUNTIFS($J$8:$J$437,"&gt;"&amp;J25)+COUNTIFS($J$8:J25,J25)</x:f>
        <x:v>97</x:v>
      </x:c>
      <x:c r="L25" s="16" t="n">
        <x:f>IF(K25&lt;='Wyniki'!$B$6,1,0)</x:f>
        <x:v>0</x:v>
      </x:c>
      <x:c r="M25" s="17" t="n">
        <x:v>0.3464829844166121</x:v>
      </x:c>
      <x:c r="N25" s="18" t="n">
        <x:v>40</x:v>
      </x:c>
      <x:c r="O25" s="17" t="n">
        <x:v>0.37210464483884614</x:v>
      </x:c>
      <x:c r="P25" s="11" t="n">
        <x:f>1/O25</x:f>
        <x:v>2.6874160639222535</x:v>
      </x:c>
      <x:c r="Q25" s="17" t="n">
        <x:v>2.8781341085401904</x:v>
      </x:c>
      <x:c r="R25" s="11" t="n">
        <x:f>Q25/P25</x:f>
        <x:v>1.0709670702569165</x:v>
      </x:c>
      <x:c r="S25" s="16" t="n">
        <x:f>COUNTIFS($R$8:$R$437,"&gt;"&amp;R25)+COUNTIFS($R$8:R25,R25)</x:f>
        <x:v>173</x:v>
      </x:c>
      <x:c r="T25" s="16" t="n">
        <x:f>IF(S25&lt;='Wyniki'!$B$6,1,0)</x:f>
        <x:v>0</x:v>
      </x:c>
    </x:row>
    <x:row r="26" ht="22" customHeight="1">
      <x:c r="A26" s="18" t="n">
        <x:v>19</x:v>
      </x:c>
      <x:c r="B26" s="17" t="n">
        <x:v>-0.0626711017101813</x:v>
      </x:c>
      <x:c r="C26" s="17" t="n">
        <x:v>-0.4620860623293905</x:v>
      </x:c>
      <x:c r="D26" s="18" t="n">
        <x:v>0</x:v>
      </x:c>
      <x:c r="E26" s="17" t="n">
        <x:v>0.14473596741161557</x:v>
      </x:c>
      <x:c r="F26" s="18" t="n">
        <x:v>10</x:v>
      </x:c>
      <x:c r="G26" s="17" t="n">
        <x:v>0.14794696504799418</x:v>
      </x:c>
      <x:c r="H26" s="11" t="n">
        <x:f>1/G26</x:f>
        <x:v>6.759178869776739</x:v>
      </x:c>
      <x:c r="I26" s="17" t="n">
        <x:v>6.760644063555472</x:v>
      </x:c>
      <x:c r="J26" s="11" t="n">
        <x:f>I26/H26</x:f>
        <x:v>1.0002167709727707</x:v>
      </x:c>
      <x:c r="K26" s="16" t="n">
        <x:f>COUNTIFS($J$8:$J$437,"&gt;"&amp;J26)+COUNTIFS($J$8:J26,J26)</x:f>
        <x:v>310</x:v>
      </x:c>
      <x:c r="L26" s="16" t="n">
        <x:f>IF(K26&lt;='Wyniki'!$B$6,1,0)</x:f>
        <x:v>0</x:v>
      </x:c>
      <x:c r="M26" s="17" t="n">
        <x:v>0.29307221019630836</x:v>
      </x:c>
      <x:c r="N26" s="18" t="n">
        <x:v>40</x:v>
      </x:c>
      <x:c r="O26" s="17" t="n">
        <x:v>0.3125901587081191</x:v>
      </x:c>
      <x:c r="P26" s="11" t="n">
        <x:f>1/O26</x:f>
        <x:v>3.19907704110976</x:v>
      </x:c>
      <x:c r="Q26" s="17" t="n">
        <x:v>3.15403216848355</x:v>
      </x:c>
      <x:c r="R26" s="11" t="n">
        <x:f>Q26/P26</x:f>
        <x:v>0.985919416116786</x:v>
      </x:c>
      <x:c r="S26" s="16" t="n">
        <x:f>COUNTIFS($R$8:$R$437,"&gt;"&amp;R26)+COUNTIFS($R$8:R26,R26)</x:f>
        <x:v>361</x:v>
      </x:c>
      <x:c r="T26" s="16" t="n">
        <x:f>IF(S26&lt;='Wyniki'!$B$6,1,0)</x:f>
        <x:v>0</x:v>
      </x:c>
    </x:row>
    <x:row r="27" ht="22" customHeight="1">
      <x:c r="A27" s="18" t="n">
        <x:v>20</x:v>
      </x:c>
      <x:c r="B27" s="17" t="n">
        <x:v>-0.4534646686301818</x:v>
      </x:c>
      <x:c r="C27" s="17" t="n">
        <x:v>0.35782603330358564</x:v>
      </x:c>
      <x:c r="D27" s="18" t="n">
        <x:v>0</x:v>
      </x:c>
      <x:c r="E27" s="17" t="n">
        <x:v>0.1532343801223371</x:v>
      </x:c>
      <x:c r="F27" s="18" t="n">
        <x:v>10</x:v>
      </x:c>
      <x:c r="G27" s="17" t="n">
        <x:v>0.15702813745988306</x:v>
      </x:c>
      <x:c r="H27" s="11" t="n">
        <x:f>1/G27</x:f>
        <x:v>6.368285430727191</x:v>
      </x:c>
      <x:c r="I27" s="17" t="n">
        <x:v>6.40331998998875</x:v>
      </x:c>
      <x:c r="J27" s="11" t="n">
        <x:f>I27/H27</x:f>
        <x:v>1.0055014115875704</x:v>
      </x:c>
      <x:c r="K27" s="16" t="n">
        <x:f>COUNTIFS($J$8:$J$437,"&gt;"&amp;J27)+COUNTIFS($J$8:J27,J27)</x:f>
        <x:v>285</x:v>
      </x:c>
      <x:c r="L27" s="16" t="n">
        <x:f>IF(K27&lt;='Wyniki'!$B$6,1,0)</x:f>
        <x:v>0</x:v>
      </x:c>
      <x:c r="M27" s="17" t="n">
        <x:v>0.36237918789473056</x:v>
      </x:c>
      <x:c r="N27" s="18" t="n">
        <x:v>40</x:v>
      </x:c>
      <x:c r="O27" s="17" t="n">
        <x:v>0.339624946100989</x:v>
      </x:c>
      <x:c r="P27" s="11" t="n">
        <x:f>1/O27</x:f>
        <x:v>2.944424464340277</x:v>
      </x:c>
      <x:c r="Q27" s="17" t="n">
        <x:v>3.051867625107704</x:v>
      </x:c>
      <x:c r="R27" s="11" t="n">
        <x:f>Q27/P27</x:f>
        <x:v>1.0364903776845573</x:v>
      </x:c>
      <x:c r="S27" s="16" t="n">
        <x:f>COUNTIFS($R$8:$R$437,"&gt;"&amp;R27)+COUNTIFS($R$8:R27,R27)</x:f>
        <x:v>214</x:v>
      </x:c>
      <x:c r="T27" s="16" t="n">
        <x:f>IF(S27&lt;='Wyniki'!$B$6,1,0)</x:f>
        <x:v>0</x:v>
      </x:c>
    </x:row>
    <x:row r="28" ht="22" customHeight="1">
      <x:c r="A28" s="18" t="n">
        <x:v>21</x:v>
      </x:c>
      <x:c r="B28" s="17" t="n">
        <x:v>0.40878979416189326</x:v>
      </x:c>
      <x:c r="C28" s="17" t="n">
        <x:v>0.2987348475678573</x:v>
      </x:c>
      <x:c r="D28" s="18" t="n">
        <x:v>0</x:v>
      </x:c>
      <x:c r="E28" s="17" t="n">
        <x:v>0.11812336201446079</x:v>
      </x:c>
      <x:c r="F28" s="18" t="n">
        <x:v>10</x:v>
      </x:c>
      <x:c r="G28" s="17" t="n">
        <x:v>0.11707572533160024</x:v>
      </x:c>
      <x:c r="H28" s="11" t="n">
        <x:f>1/G28</x:f>
        <x:v>8.541480286947982</x:v>
      </x:c>
      <x:c r="I28" s="17" t="n">
        <x:v>8.150523048888106</x:v>
      </x:c>
      <x:c r="J28" s="11" t="n">
        <x:f>I28/H28</x:f>
        <x:v>0.954228397780501</x:v>
      </x:c>
      <x:c r="K28" s="16" t="n">
        <x:f>COUNTIFS($J$8:$J$437,"&gt;"&amp;J28)+COUNTIFS($J$8:J28,J28)</x:f>
        <x:v>420</x:v>
      </x:c>
      <x:c r="L28" s="16" t="n">
        <x:f>IF(K28&lt;='Wyniki'!$B$6,1,0)</x:f>
        <x:v>0</x:v>
      </x:c>
      <x:c r="M28" s="17" t="n">
        <x:v>0.2652675560432171</x:v>
      </x:c>
      <x:c r="N28" s="18" t="n">
        <x:v>40</x:v>
      </x:c>
      <x:c r="O28" s="17" t="n">
        <x:v>0.28332452854798884</x:v>
      </x:c>
      <x:c r="P28" s="11" t="n">
        <x:f>1/O28</x:f>
        <x:v>3.5295214471013314</x:v>
      </x:c>
      <x:c r="Q28" s="17" t="n">
        <x:v>3.474908053203748</x:v>
      </x:c>
      <x:c r="R28" s="11" t="n">
        <x:f>Q28/P28</x:f>
        <x:v>0.9845266859215617</x:v>
      </x:c>
      <x:c r="S28" s="16" t="n">
        <x:f>COUNTIFS($R$8:$R$437,"&gt;"&amp;R28)+COUNTIFS($R$8:R28,R28)</x:f>
        <x:v>369</x:v>
      </x:c>
      <x:c r="T28" s="16" t="n">
        <x:f>IF(S28&lt;='Wyniki'!$B$6,1,0)</x:f>
        <x:v>0</x:v>
      </x:c>
    </x:row>
    <x:row r="29" ht="22" customHeight="1">
      <x:c r="A29" s="18" t="n">
        <x:v>22</x:v>
      </x:c>
      <x:c r="B29" s="17" t="n">
        <x:v>-0.3660303390087819</x:v>
      </x:c>
      <x:c r="C29" s="17" t="n">
        <x:v>0.1276887276866959</x:v>
      </x:c>
      <x:c r="D29" s="18" t="n">
        <x:v>0</x:v>
      </x:c>
      <x:c r="E29" s="17" t="n">
        <x:v>0.16423158991807602</x:v>
      </x:c>
      <x:c r="F29" s="18" t="n">
        <x:v>10</x:v>
      </x:c>
      <x:c r="G29" s="17" t="n">
        <x:v>0.14372162074339934</x:v>
      </x:c>
      <x:c r="H29" s="11" t="n">
        <x:f>1/G29</x:f>
        <x:v>6.957895373204847</x:v>
      </x:c>
      <x:c r="I29" s="17" t="n">
        <x:v>7.218462456807947</x:v>
      </x:c>
      <x:c r="J29" s="11" t="n">
        <x:f>I29/H29</x:f>
        <x:v>1.0374491235678183</x:v>
      </x:c>
      <x:c r="K29" s="16" t="n">
        <x:f>COUNTIFS($J$8:$J$437,"&gt;"&amp;J29)+COUNTIFS($J$8:J29,J29)</x:f>
        <x:v>201</x:v>
      </x:c>
      <x:c r="L29" s="16" t="n">
        <x:f>IF(K29&lt;='Wyniki'!$B$6,1,0)</x:f>
        <x:v>0</x:v>
      </x:c>
      <x:c r="M29" s="17" t="n">
        <x:v>0.2750235041468324</x:v>
      </x:c>
      <x:c r="N29" s="18" t="n">
        <x:v>40</x:v>
      </x:c>
      <x:c r="O29" s="17" t="n">
        <x:v>0.2995147897069008</x:v>
      </x:c>
      <x:c r="P29" s="11" t="n">
        <x:f>1/O29</x:f>
        <x:v>3.338733292531497</x:v>
      </x:c>
      <x:c r="Q29" s="17" t="n">
        <x:v>3.3374757334461633</x:v>
      </x:c>
      <x:c r="R29" s="11" t="n">
        <x:f>Q29/P29</x:f>
        <x:v>0.9996233424550123</x:v>
      </x:c>
      <x:c r="S29" s="16" t="n">
        <x:f>COUNTIFS($R$8:$R$437,"&gt;"&amp;R29)+COUNTIFS($R$8:R29,R29)</x:f>
        <x:v>316</x:v>
      </x:c>
      <x:c r="T29" s="16" t="n">
        <x:f>IF(S29&lt;='Wyniki'!$B$6,1,0)</x:f>
        <x:v>0</x:v>
      </x:c>
    </x:row>
    <x:row r="30" ht="22" customHeight="1">
      <x:c r="A30" s="18" t="n">
        <x:v>23</x:v>
      </x:c>
      <x:c r="B30" s="17" t="n">
        <x:v>0.06417719502740053</x:v>
      </x:c>
      <x:c r="C30" s="17" t="n">
        <x:v>0.12027872820095713</x:v>
      </x:c>
      <x:c r="D30" s="18" t="n">
        <x:v>0</x:v>
      </x:c>
      <x:c r="E30" s="17" t="n">
        <x:v>0.12205529494289626</x:v>
      </x:c>
      <x:c r="F30" s="18" t="n">
        <x:v>10</x:v>
      </x:c>
      <x:c r="G30" s="17" t="n">
        <x:v>0.12166141849940182</x:v>
      </x:c>
      <x:c r="H30" s="11" t="n">
        <x:f>1/G30</x:f>
        <x:v>8.219532636839318</x:v>
      </x:c>
      <x:c r="I30" s="17" t="n">
        <x:v>8.294476037029455</x:v>
      </x:c>
      <x:c r="J30" s="11" t="n">
        <x:f>I30/H30</x:f>
        <x:v>1.0091177203743003</x:v>
      </x:c>
      <x:c r="K30" s="16" t="n">
        <x:f>COUNTIFS($J$8:$J$437,"&gt;"&amp;J30)+COUNTIFS($J$8:J30,J30)</x:f>
        <x:v>273</x:v>
      </x:c>
      <x:c r="L30" s="16" t="n">
        <x:f>IF(K30&lt;='Wyniki'!$B$6,1,0)</x:f>
        <x:v>0</x:v>
      </x:c>
      <x:c r="M30" s="17" t="n">
        <x:v>0.2372993499167561</x:v>
      </x:c>
      <x:c r="N30" s="18" t="n">
        <x:v>40</x:v>
      </x:c>
      <x:c r="O30" s="17" t="n">
        <x:v>0.2538429448046428</x:v>
      </x:c>
      <x:c r="P30" s="11" t="n">
        <x:f>1/O30</x:f>
        <x:v>3.939443740575885</x:v>
      </x:c>
      <x:c r="Q30" s="17" t="n">
        <x:v>3.822056329814341</x:v>
      </x:c>
      <x:c r="R30" s="11" t="n">
        <x:f>Q30/P30</x:f>
        <x:v>0.9702020339692975</x:v>
      </x:c>
      <x:c r="S30" s="16" t="n">
        <x:f>COUNTIFS($R$8:$R$437,"&gt;"&amp;R30)+COUNTIFS($R$8:R30,R30)</x:f>
        <x:v>424</x:v>
      </x:c>
      <x:c r="T30" s="16" t="n">
        <x:f>IF(S30&lt;='Wyniki'!$B$6,1,0)</x:f>
        <x:v>0</x:v>
      </x:c>
    </x:row>
    <x:row r="31" ht="22" customHeight="1">
      <x:c r="A31" s="18" t="n">
        <x:v>24</x:v>
      </x:c>
      <x:c r="B31" s="17" t="n">
        <x:v>0.4792858278715045</x:v>
      </x:c>
      <x:c r="C31" s="17" t="n">
        <x:v>0.12297755182607525</x:v>
      </x:c>
      <x:c r="D31" s="18" t="n">
        <x:v>0</x:v>
      </x:c>
      <x:c r="E31" s="17" t="n">
        <x:v>0.11308990882970854</x:v>
      </x:c>
      <x:c r="F31" s="18" t="n">
        <x:v>10</x:v>
      </x:c>
      <x:c r="G31" s="17" t="n">
        <x:v>0.12174824973215351</x:v>
      </x:c>
      <x:c r="H31" s="11" t="n">
        <x:f>1/G31</x:f>
        <x:v>8.213670440437566</x:v>
      </x:c>
      <x:c r="I31" s="17" t="n">
        <x:v>8.137255989573045</x:v>
      </x:c>
      <x:c r="J31" s="11" t="n">
        <x:f>I31/H31</x:f>
        <x:v>0.990696674353001</x:v>
      </x:c>
      <x:c r="K31" s="16" t="n">
        <x:f>COUNTIFS($J$8:$J$437,"&gt;"&amp;J31)+COUNTIFS($J$8:J31,J31)</x:f>
        <x:v>347</x:v>
      </x:c>
      <x:c r="L31" s="16" t="n">
        <x:f>IF(K31&lt;='Wyniki'!$B$6,1,0)</x:f>
        <x:v>0</x:v>
      </x:c>
      <x:c r="M31" s="17" t="n">
        <x:v>0.2838013692674464</x:v>
      </x:c>
      <x:c r="N31" s="18" t="n">
        <x:v>40</x:v>
      </x:c>
      <x:c r="O31" s="17" t="n">
        <x:v>0.2828564281108251</x:v>
      </x:c>
      <x:c r="P31" s="11" t="n">
        <x:f>1/O31</x:f>
        <x:v>3.5353624687935077</x:v>
      </x:c>
      <x:c r="Q31" s="17" t="n">
        <x:v>3.4640703398623165</x:v>
      </x:c>
      <x:c r="R31" s="11" t="n">
        <x:f>Q31/P31</x:f>
        <x:v>0.9798345630581068</x:v>
      </x:c>
      <x:c r="S31" s="16" t="n">
        <x:f>COUNTIFS($R$8:$R$437,"&gt;"&amp;R31)+COUNTIFS($R$8:R31,R31)</x:f>
        <x:v>390</x:v>
      </x:c>
      <x:c r="T31" s="16" t="n">
        <x:f>IF(S31&lt;='Wyniki'!$B$6,1,0)</x:f>
        <x:v>0</x:v>
      </x:c>
    </x:row>
    <x:row r="32" ht="22" customHeight="1">
      <x:c r="A32" s="18" t="n">
        <x:v>25</x:v>
      </x:c>
      <x:c r="B32" s="17" t="n">
        <x:v>0.3734024596895422</x:v>
      </x:c>
      <x:c r="C32" s="17" t="n">
        <x:v>0.03716848821889031</x:v>
      </x:c>
      <x:c r="D32" s="18" t="n">
        <x:v>0</x:v>
      </x:c>
      <x:c r="E32" s="17" t="n">
        <x:v>0.14739019228643083</x:v>
      </x:c>
      <x:c r="F32" s="18" t="n">
        <x:v>10</x:v>
      </x:c>
      <x:c r="G32" s="17" t="n">
        <x:v>0.13372940867173005</x:v>
      </x:c>
      <x:c r="H32" s="11" t="n">
        <x:f>1/G32</x:f>
        <x:v>7.477786748124585</x:v>
      </x:c>
      <x:c r="I32" s="17" t="n">
        <x:v>7.914976517708661</x:v>
      </x:c>
      <x:c r="J32" s="11" t="n">
        <x:f>I32/H32</x:f>
        <x:v>1.0584651293638083</x:v>
      </x:c>
      <x:c r="K32" s="16" t="n">
        <x:f>COUNTIFS($J$8:$J$437,"&gt;"&amp;J32)+COUNTIFS($J$8:J32,J32)</x:f>
        <x:v>161</x:v>
      </x:c>
      <x:c r="L32" s="16" t="n">
        <x:f>IF(K32&lt;='Wyniki'!$B$6,1,0)</x:f>
        <x:v>0</x:v>
      </x:c>
      <x:c r="M32" s="17" t="n">
        <x:v>0.25495371214512175</x:v>
      </x:c>
      <x:c r="N32" s="18" t="n">
        <x:v>40</x:v>
      </x:c>
      <x:c r="O32" s="17" t="n">
        <x:v>0.27582791881119234</x:v>
      </x:c>
      <x:c r="P32" s="11" t="n">
        <x:f>1/O32</x:f>
        <x:v>3.6254488099317914</x:v>
      </x:c>
      <x:c r="Q32" s="17" t="n">
        <x:v>3.5714539834878516</x:v>
      </x:c>
      <x:c r="R32" s="11" t="n">
        <x:f>Q32/P32</x:f>
        <x:v>0.9851067193953965</x:v>
      </x:c>
      <x:c r="S32" s="16" t="n">
        <x:f>COUNTIFS($R$8:$R$437,"&gt;"&amp;R32)+COUNTIFS($R$8:R32,R32)</x:f>
        <x:v>366</x:v>
      </x:c>
      <x:c r="T32" s="16" t="n">
        <x:f>IF(S32&lt;='Wyniki'!$B$6,1,0)</x:f>
        <x:v>0</x:v>
      </x:c>
    </x:row>
    <x:row r="33" ht="22" customHeight="1">
      <x:c r="A33" s="18" t="n">
        <x:v>26</x:v>
      </x:c>
      <x:c r="B33" s="17" t="n">
        <x:v>0.1590156692794913</x:v>
      </x:c>
      <x:c r="C33" s="17" t="n">
        <x:v>0.34720852421119724</x:v>
      </x:c>
      <x:c r="D33" s="18" t="n">
        <x:v>0</x:v>
      </x:c>
      <x:c r="E33" s="17" t="n">
        <x:v>0.1265560029832657</x:v>
      </x:c>
      <x:c r="F33" s="18" t="n">
        <x:v>10</x:v>
      </x:c>
      <x:c r="G33" s="17" t="n">
        <x:v>0.15548330287521475</x:v>
      </x:c>
      <x:c r="H33" s="11" t="n">
        <x:f>1/G33</x:f>
        <x:v>6.431558768741642</x:v>
      </x:c>
      <x:c r="I33" s="17" t="n">
        <x:v>6.767650378538406</x:v>
      </x:c>
      <x:c r="J33" s="11" t="n">
        <x:f>I33/H33</x:f>
        <x:v>1.0522566335598487</x:v>
      </x:c>
      <x:c r="K33" s="16" t="n">
        <x:f>COUNTIFS($J$8:$J$437,"&gt;"&amp;J33)+COUNTIFS($J$8:J33,J33)</x:f>
        <x:v>175</x:v>
      </x:c>
      <x:c r="L33" s="16" t="n">
        <x:f>IF(K33&lt;='Wyniki'!$B$6,1,0)</x:f>
        <x:v>0</x:v>
      </x:c>
      <x:c r="M33" s="17" t="n">
        <x:v>0.2810017658565657</x:v>
      </x:c>
      <x:c r="N33" s="18" t="n">
        <x:v>40</x:v>
      </x:c>
      <x:c r="O33" s="17" t="n">
        <x:v>0.2758987187543531</x:v>
      </x:c>
      <x:c r="P33" s="11" t="n">
        <x:f>1/O33</x:f>
        <x:v>3.624518462843431</x:v>
      </x:c>
      <x:c r="Q33" s="17" t="n">
        <x:v>3.6030201289447445</x:v>
      </x:c>
      <x:c r="R33" s="11" t="n">
        <x:f>Q33/P33</x:f>
        <x:v>0.9940686372219992</x:v>
      </x:c>
      <x:c r="S33" s="16" t="n">
        <x:f>COUNTIFS($R$8:$R$437,"&gt;"&amp;R33)+COUNTIFS($R$8:R33,R33)</x:f>
        <x:v>333</x:v>
      </x:c>
      <x:c r="T33" s="16" t="n">
        <x:f>IF(S33&lt;='Wyniki'!$B$6,1,0)</x:f>
        <x:v>0</x:v>
      </x:c>
    </x:row>
    <x:row r="34" ht="22" customHeight="1">
      <x:c r="A34" s="18" t="n">
        <x:v>27</x:v>
      </x:c>
      <x:c r="B34" s="17" t="n">
        <x:v>-0.8014357009206166</x:v>
      </x:c>
      <x:c r="C34" s="17" t="n">
        <x:v>-0.17581916899651576</x:v>
      </x:c>
      <x:c r="D34" s="18" t="n">
        <x:v>0</x:v>
      </x:c>
      <x:c r="E34" s="17" t="n">
        <x:v>0.2060241719922459</x:v>
      </x:c>
      <x:c r="F34" s="18" t="n">
        <x:v>10</x:v>
      </x:c>
      <x:c r="G34" s="17" t="n">
        <x:v>0.21457090902028556</x:v>
      </x:c>
      <x:c r="H34" s="11" t="n">
        <x:f>1/G34</x:f>
        <x:v>4.660464014278189</x:v>
      </x:c>
      <x:c r="I34" s="17" t="n">
        <x:v>4.881284547650192</x:v>
      </x:c>
      <x:c r="J34" s="11" t="n">
        <x:f>I34/H34</x:f>
        <x:v>1.047381662575975</x:v>
      </x:c>
      <x:c r="K34" s="16" t="n">
        <x:f>COUNTIFS($J$8:$J$437,"&gt;"&amp;J34)+COUNTIFS($J$8:J34,J34)</x:f>
        <x:v>185</x:v>
      </x:c>
      <x:c r="L34" s="16" t="n">
        <x:f>IF(K34&lt;='Wyniki'!$B$6,1,0)</x:f>
        <x:v>0</x:v>
      </x:c>
      <x:c r="M34" s="17" t="n">
        <x:v>0.38372770096067454</x:v>
      </x:c>
      <x:c r="N34" s="18" t="n">
        <x:v>40</x:v>
      </x:c>
      <x:c r="O34" s="17" t="n">
        <x:v>0.38873240788804503</x:v>
      </x:c>
      <x:c r="P34" s="11" t="n">
        <x:f>1/O34</x:f>
        <x:v>2.572463678634173</x:v>
      </x:c>
      <x:c r="Q34" s="17" t="n">
        <x:v>2.6371806399356266</x:v>
      </x:c>
      <x:c r="R34" s="11" t="n">
        <x:f>Q34/P34</x:f>
        <x:v>1.0251575801979116</x:v>
      </x:c>
      <x:c r="S34" s="16" t="n">
        <x:f>COUNTIFS($R$8:$R$437,"&gt;"&amp;R34)+COUNTIFS($R$8:R34,R34)</x:f>
        <x:v>232</x:v>
      </x:c>
      <x:c r="T34" s="16" t="n">
        <x:f>IF(S34&lt;='Wyniki'!$B$6,1,0)</x:f>
        <x:v>0</x:v>
      </x:c>
    </x:row>
    <x:row r="35" ht="22" customHeight="1">
      <x:c r="A35" s="18" t="n">
        <x:v>28</x:v>
      </x:c>
      <x:c r="B35" s="17" t="n">
        <x:v>-0.25870495986103753</x:v>
      </x:c>
      <x:c r="C35" s="17" t="n">
        <x:v>-0.35138281653383807</x:v>
      </x:c>
      <x:c r="D35" s="18" t="n">
        <x:v>0</x:v>
      </x:c>
      <x:c r="E35" s="17" t="n">
        <x:v>0.1710727178283187</x:v>
      </x:c>
      <x:c r="F35" s="18" t="n">
        <x:v>10</x:v>
      </x:c>
      <x:c r="G35" s="17" t="n">
        <x:v>0.17053567763365493</x:v>
      </x:c>
      <x:c r="H35" s="11" t="n">
        <x:f>1/G35</x:f>
        <x:v>5.863875605831889</x:v>
      </x:c>
      <x:c r="I35" s="17" t="n">
        <x:v>6.302435377778535</x:v>
      </x:c>
      <x:c r="J35" s="11" t="n">
        <x:f>I35/H35</x:f>
        <x:v>1.0747900878917824</x:v>
      </x:c>
      <x:c r="K35" s="16" t="n">
        <x:f>COUNTIFS($J$8:$J$437,"&gt;"&amp;J35)+COUNTIFS($J$8:J35,J35)</x:f>
        <x:v>144</x:v>
      </x:c>
      <x:c r="L35" s="16" t="n">
        <x:f>IF(K35&lt;='Wyniki'!$B$6,1,0)</x:f>
        <x:v>0</x:v>
      </x:c>
      <x:c r="M35" s="17" t="n">
        <x:v>0.3031550212066828</x:v>
      </x:c>
      <x:c r="N35" s="18" t="n">
        <x:v>40</x:v>
      </x:c>
      <x:c r="O35" s="17" t="n">
        <x:v>0.3113219578834278</x:v>
      </x:c>
      <x:c r="P35" s="11" t="n">
        <x:f>1/O35</x:f>
        <x:v>3.212108798231452</x:v>
      </x:c>
      <x:c r="Q35" s="17" t="n">
        <x:v>3.178180053557621</x:v>
      </x:c>
      <x:c r="R35" s="11" t="n">
        <x:f>Q35/P35</x:f>
        <x:v>0.989437236779616</x:v>
      </x:c>
      <x:c r="S35" s="16" t="n">
        <x:f>COUNTIFS($R$8:$R$437,"&gt;"&amp;R35)+COUNTIFS($R$8:R35,R35)</x:f>
        <x:v>349</x:v>
      </x:c>
      <x:c r="T35" s="16" t="n">
        <x:f>IF(S35&lt;='Wyniki'!$B$6,1,0)</x:f>
        <x:v>0</x:v>
      </x:c>
    </x:row>
    <x:row r="36" ht="22" customHeight="1">
      <x:c r="A36" s="18" t="n">
        <x:v>29</x:v>
      </x:c>
      <x:c r="B36" s="17" t="n">
        <x:v>-0.15132823817467606</x:v>
      </x:c>
      <x:c r="C36" s="17" t="n">
        <x:v>0.8222177211789178</x:v>
      </x:c>
      <x:c r="D36" s="18" t="n">
        <x:v>0</x:v>
      </x:c>
      <x:c r="E36" s="17" t="n">
        <x:v>0.2245320386871956</x:v>
      </x:c>
      <x:c r="F36" s="18" t="n">
        <x:v>10</x:v>
      </x:c>
      <x:c r="G36" s="17" t="n">
        <x:v>0.20775397194659995</x:v>
      </x:c>
      <x:c r="H36" s="11" t="n">
        <x:f>1/G36</x:f>
        <x:v>4.813385711138341</x:v>
      </x:c>
      <x:c r="I36" s="17" t="n">
        <x:v>5.090528411493732</x:v>
      </x:c>
      <x:c r="J36" s="11" t="n">
        <x:f>I36/H36</x:f>
        <x:v>1.0575774967948388</x:v>
      </x:c>
      <x:c r="K36" s="16" t="n">
        <x:f>COUNTIFS($J$8:$J$437,"&gt;"&amp;J36)+COUNTIFS($J$8:J36,J36)</x:f>
        <x:v>163</x:v>
      </x:c>
      <x:c r="L36" s="16" t="n">
        <x:f>IF(K36&lt;='Wyniki'!$B$6,1,0)</x:f>
        <x:v>0</x:v>
      </x:c>
      <x:c r="M36" s="17" t="n">
        <x:v>0.45939631165225436</x:v>
      </x:c>
      <x:c r="N36" s="18" t="n">
        <x:v>40</x:v>
      </x:c>
      <x:c r="O36" s="17" t="n">
        <x:v>0.42787474539598824</x:v>
      </x:c>
      <x:c r="P36" s="11" t="n">
        <x:f>1/O36</x:f>
        <x:v>2.337132562181306</x:v>
      </x:c>
      <x:c r="Q36" s="17" t="n">
        <x:v>2.586809772599885</x:v>
      </x:c>
      <x:c r="R36" s="11" t="n">
        <x:f>Q36/P36</x:f>
        <x:v>1.1068305728390302</x:v>
      </x:c>
      <x:c r="S36" s="16" t="n">
        <x:f>COUNTIFS($R$8:$R$437,"&gt;"&amp;R36)+COUNTIFS($R$8:R36,R36)</x:f>
        <x:v>149</x:v>
      </x:c>
      <x:c r="T36" s="16" t="n">
        <x:f>IF(S36&lt;='Wyniki'!$B$6,1,0)</x:f>
        <x:v>0</x:v>
      </x:c>
    </x:row>
    <x:row r="37" ht="22" customHeight="1">
      <x:c r="A37" s="18" t="n">
        <x:v>30</x:v>
      </x:c>
      <x:c r="B37" s="17" t="n">
        <x:v>-0.4762071136312838</x:v>
      </x:c>
      <x:c r="C37" s="17" t="n">
        <x:v>0.5325530950253144</x:v>
      </x:c>
      <x:c r="D37" s="18" t="n">
        <x:v>0</x:v>
      </x:c>
      <x:c r="E37" s="17" t="n">
        <x:v>0.26078760983099264</x:v>
      </x:c>
      <x:c r="F37" s="18" t="n">
        <x:v>10</x:v>
      </x:c>
      <x:c r="G37" s="17" t="n">
        <x:v>0.20833895961521298</x:v>
      </x:c>
      <x:c r="H37" s="11" t="n">
        <x:f>1/G37</x:f>
        <x:v>4.799870373966193</x:v>
      </x:c>
      <x:c r="I37" s="17" t="n">
        <x:v>5.960033995846619</x:v>
      </x:c>
      <x:c r="J37" s="11" t="n">
        <x:f>I37/H37</x:f>
        <x:v>1.2417072819659851</x:v>
      </x:c>
      <x:c r="K37" s="16" t="n">
        <x:f>COUNTIFS($J$8:$J$437,"&gt;"&amp;J37)+COUNTIFS($J$8:J37,J37)</x:f>
        <x:v>54</x:v>
      </x:c>
      <x:c r="L37" s="16" t="n">
        <x:f>IF(K37&lt;='Wyniki'!$B$6,1,0)</x:f>
        <x:v>0</x:v>
      </x:c>
      <x:c r="M37" s="17" t="n">
        <x:v>0.4201994227210221</x:v>
      </x:c>
      <x:c r="N37" s="18" t="n">
        <x:v>40</x:v>
      </x:c>
      <x:c r="O37" s="17" t="n">
        <x:v>0.3854898686033789</x:v>
      </x:c>
      <x:c r="P37" s="11" t="n">
        <x:f>1/O37</x:f>
        <x:v>2.5941018985089737</x:v>
      </x:c>
      <x:c r="Q37" s="17" t="n">
        <x:v>2.8816824905792195</x:v>
      </x:c>
      <x:c r="R37" s="11" t="n">
        <x:f>Q37/P37</x:f>
        <x:v>1.110859404650041</x:v>
      </x:c>
      <x:c r="S37" s="16" t="n">
        <x:f>COUNTIFS($R$8:$R$437,"&gt;"&amp;R37)+COUNTIFS($R$8:R37,R37)</x:f>
        <x:v>145</x:v>
      </x:c>
      <x:c r="T37" s="16" t="n">
        <x:f>IF(S37&lt;='Wyniki'!$B$6,1,0)</x:f>
        <x:v>0</x:v>
      </x:c>
    </x:row>
    <x:row r="38" ht="22" customHeight="1">
      <x:c r="A38" s="18" t="n">
        <x:v>31</x:v>
      </x:c>
      <x:c r="B38" s="17" t="n">
        <x:v>-0.9255783743886927</x:v>
      </x:c>
      <x:c r="C38" s="17" t="n">
        <x:v>-0.1841867664921762</x:v>
      </x:c>
      <x:c r="D38" s="18" t="n">
        <x:v>0</x:v>
      </x:c>
      <x:c r="E38" s="17" t="n">
        <x:v>0.22631361343158551</x:v>
      </x:c>
      <x:c r="F38" s="18" t="n">
        <x:v>10</x:v>
      </x:c>
      <x:c r="G38" s="17" t="n">
        <x:v>0.2207450290355127</x:v>
      </x:c>
      <x:c r="H38" s="11" t="n">
        <x:f>1/G38</x:f>
        <x:v>4.530113336500653</x:v>
      </x:c>
      <x:c r="I38" s="17" t="n">
        <x:v>4.557495788519971</x:v>
      </x:c>
      <x:c r="J38" s="11" t="n">
        <x:f>I38/H38</x:f>
        <x:v>1.006044540166068</x:v>
      </x:c>
      <x:c r="K38" s="16" t="n">
        <x:f>COUNTIFS($J$8:$J$437,"&gt;"&amp;J38)+COUNTIFS($J$8:J38,J38)</x:f>
        <x:v>284</x:v>
      </x:c>
      <x:c r="L38" s="16" t="n">
        <x:f>IF(K38&lt;='Wyniki'!$B$6,1,0)</x:f>
        <x:v>0</x:v>
      </x:c>
      <x:c r="M38" s="17" t="n">
        <x:v>0.45084158800630925</x:v>
      </x:c>
      <x:c r="N38" s="18" t="n">
        <x:v>40</x:v>
      </x:c>
      <x:c r="O38" s="17" t="n">
        <x:v>0.4448613752059166</x:v>
      </x:c>
      <x:c r="P38" s="11" t="n">
        <x:f>1/O38</x:f>
        <x:v>2.247891266211012</x:v>
      </x:c>
      <x:c r="Q38" s="17" t="n">
        <x:v>2.4836977378498832</x:v>
      </x:c>
      <x:c r="R38" s="11" t="n">
        <x:f>Q38/P38</x:f>
        <x:v>1.1049011912557232</x:v>
      </x:c>
      <x:c r="S38" s="16" t="n">
        <x:f>COUNTIFS($R$8:$R$437,"&gt;"&amp;R38)+COUNTIFS($R$8:R38,R38)</x:f>
        <x:v>151</x:v>
      </x:c>
      <x:c r="T38" s="16" t="n">
        <x:f>IF(S38&lt;='Wyniki'!$B$6,1,0)</x:f>
        <x:v>0</x:v>
      </x:c>
    </x:row>
    <x:row r="39" ht="22" customHeight="1">
      <x:c r="A39" s="18" t="n">
        <x:v>32</x:v>
      </x:c>
      <x:c r="B39" s="17" t="n">
        <x:v>0.08951418580775308</x:v>
      </x:c>
      <x:c r="C39" s="17" t="n">
        <x:v>0.322422282247603</x:v>
      </x:c>
      <x:c r="D39" s="18" t="n">
        <x:v>0</x:v>
      </x:c>
      <x:c r="E39" s="17" t="n">
        <x:v>0.1436463879773871</x:v>
      </x:c>
      <x:c r="F39" s="18" t="n">
        <x:v>10</x:v>
      </x:c>
      <x:c r="G39" s="17" t="n">
        <x:v>0.14534745339777444</x:v>
      </x:c>
      <x:c r="H39" s="11" t="n">
        <x:f>1/G39</x:f>
        <x:v>6.88006550251201</x:v>
      </x:c>
      <x:c r="I39" s="17" t="n">
        <x:v>6.917830884473631</x:v>
      </x:c>
      <x:c r="J39" s="11" t="n">
        <x:f>I39/H39</x:f>
        <x:v>1.0054891020947159</x:v>
      </x:c>
      <x:c r="K39" s="16" t="n">
        <x:f>COUNTIFS($J$8:$J$437,"&gt;"&amp;J39)+COUNTIFS($J$8:J39,J39)</x:f>
        <x:v>286</x:v>
      </x:c>
      <x:c r="L39" s="16" t="n">
        <x:f>IF(K39&lt;='Wyniki'!$B$6,1,0)</x:f>
        <x:v>0</x:v>
      </x:c>
      <x:c r="M39" s="17" t="n">
        <x:v>0.2757686212230861</x:v>
      </x:c>
      <x:c r="N39" s="18" t="n">
        <x:v>40</x:v>
      </x:c>
      <x:c r="O39" s="17" t="n">
        <x:v>0.27046075824089233</x:v>
      </x:c>
      <x:c r="P39" s="11" t="n">
        <x:f>1/O39</x:f>
        <x:v>3.6973940563655674</x:v>
      </x:c>
      <x:c r="Q39" s="17" t="n">
        <x:v>3.6497760487660833</x:v>
      </x:c>
      <x:c r="R39" s="11" t="n">
        <x:f>Q39/P39</x:f>
        <x:v>0.987121197558723</x:v>
      </x:c>
      <x:c r="S39" s="16" t="n">
        <x:f>COUNTIFS($R$8:$R$437,"&gt;"&amp;R39)+COUNTIFS($R$8:R39,R39)</x:f>
        <x:v>357</x:v>
      </x:c>
      <x:c r="T39" s="16" t="n">
        <x:f>IF(S39&lt;='Wyniki'!$B$6,1,0)</x:f>
        <x:v>0</x:v>
      </x:c>
    </x:row>
    <x:row r="40" ht="22" customHeight="1">
      <x:c r="A40" s="18" t="n">
        <x:v>33</x:v>
      </x:c>
      <x:c r="B40" s="17" t="n">
        <x:v>0.39117461888607025</x:v>
      </x:c>
      <x:c r="C40" s="17" t="n">
        <x:v>0.4363409793599589</x:v>
      </x:c>
      <x:c r="D40" s="18" t="n">
        <x:v>0</x:v>
      </x:c>
      <x:c r="E40" s="17" t="n">
        <x:v>0.16464271603328584</x:v>
      </x:c>
      <x:c r="F40" s="18" t="n">
        <x:v>10</x:v>
      </x:c>
      <x:c r="G40" s="17" t="n">
        <x:v>0.15080851682240895</x:v>
      </x:c>
      <x:c r="H40" s="11" t="n">
        <x:f>1/G40</x:f>
        <x:v>6.630925235990438</x:v>
      </x:c>
      <x:c r="I40" s="17" t="n">
        <x:v>6.905046431255535</x:v>
      </x:c>
      <x:c r="J40" s="11" t="n">
        <x:f>I40/H40</x:f>
        <x:v>1.0413398108875151</x:v>
      </x:c>
      <x:c r="K40" s="16" t="n">
        <x:f>COUNTIFS($J$8:$J$437,"&gt;"&amp;J40)+COUNTIFS($J$8:J40,J40)</x:f>
        <x:v>193</x:v>
      </x:c>
      <x:c r="L40" s="16" t="n">
        <x:f>IF(K40&lt;='Wyniki'!$B$6,1,0)</x:f>
        <x:v>0</x:v>
      </x:c>
      <x:c r="M40" s="17" t="n">
        <x:v>0.31214278474451285</x:v>
      </x:c>
      <x:c r="N40" s="18" t="n">
        <x:v>40</x:v>
      </x:c>
      <x:c r="O40" s="17" t="n">
        <x:v>0.2984784026566896</x:v>
      </x:c>
      <x:c r="P40" s="11" t="n">
        <x:f>1/O40</x:f>
        <x:v>3.350326157937135</x:v>
      </x:c>
      <x:c r="Q40" s="17" t="n">
        <x:v>3.3652540820785974</x:v>
      </x:c>
      <x:c r="R40" s="11" t="n">
        <x:f>Q40/P40</x:f>
        <x:v>1.004455662952724</x:v>
      </x:c>
      <x:c r="S40" s="16" t="n">
        <x:f>COUNTIFS($R$8:$R$437,"&gt;"&amp;R40)+COUNTIFS($R$8:R40,R40)</x:f>
        <x:v>292</x:v>
      </x:c>
      <x:c r="T40" s="16" t="n">
        <x:f>IF(S40&lt;='Wyniki'!$B$6,1,0)</x:f>
        <x:v>0</x:v>
      </x:c>
    </x:row>
    <x:row r="41" ht="22" customHeight="1">
      <x:c r="A41" s="18" t="n">
        <x:v>34</x:v>
      </x:c>
      <x:c r="B41" s="17" t="n">
        <x:v>-0.1917987897366407</x:v>
      </x:c>
      <x:c r="C41" s="17" t="n">
        <x:v>-0.25429348596551193</x:v>
      </x:c>
      <x:c r="D41" s="18" t="n">
        <x:v>0</x:v>
      </x:c>
      <x:c r="E41" s="17" t="n">
        <x:v>0.16708221811597718</x:v>
      </x:c>
      <x:c r="F41" s="18" t="n">
        <x:v>10</x:v>
      </x:c>
      <x:c r="G41" s="17" t="n">
        <x:v>0.15886247893763525</x:v>
      </x:c>
      <x:c r="H41" s="11" t="n">
        <x:f>1/G41</x:f>
        <x:v>6.294752585300968</x:v>
      </x:c>
      <x:c r="I41" s="17" t="n">
        <x:v>6.470768880288821</x:v>
      </x:c>
      <x:c r="J41" s="11" t="n">
        <x:f>I41/H41</x:f>
        <x:v>1.0279623849551884</x:v>
      </x:c>
      <x:c r="K41" s="16" t="n">
        <x:f>COUNTIFS($J$8:$J$437,"&gt;"&amp;J41)+COUNTIFS($J$8:J41,J41)</x:f>
        <x:v>223</x:v>
      </x:c>
      <x:c r="L41" s="16" t="n">
        <x:f>IF(K41&lt;='Wyniki'!$B$6,1,0)</x:f>
        <x:v>0</x:v>
      </x:c>
      <x:c r="M41" s="17" t="n">
        <x:v>0.2938480941939524</x:v>
      </x:c>
      <x:c r="N41" s="18" t="n">
        <x:v>40</x:v>
      </x:c>
      <x:c r="O41" s="17" t="n">
        <x:v>0.28778454689287936</x:v>
      </x:c>
      <x:c r="P41" s="11" t="n">
        <x:f>1/O41</x:f>
        <x:v>3.474821740071489</x:v>
      </x:c>
      <x:c r="Q41" s="17" t="n">
        <x:v>3.4571287137711595</x:v>
      </x:c>
      <x:c r="R41" s="11" t="n">
        <x:f>Q41/P41</x:f>
        <x:v>0.9949082204429959</x:v>
      </x:c>
      <x:c r="S41" s="16" t="n">
        <x:f>COUNTIFS($R$8:$R$437,"&gt;"&amp;R41)+COUNTIFS($R$8:R41,R41)</x:f>
        <x:v>330</x:v>
      </x:c>
      <x:c r="T41" s="16" t="n">
        <x:f>IF(S41&lt;='Wyniki'!$B$6,1,0)</x:f>
        <x:v>0</x:v>
      </x:c>
    </x:row>
    <x:row r="42" ht="22" customHeight="1">
      <x:c r="A42" s="18" t="n">
        <x:v>35</x:v>
      </x:c>
      <x:c r="B42" s="17" t="n">
        <x:v>0.47188673469143466</x:v>
      </x:c>
      <x:c r="C42" s="17" t="n">
        <x:v>-0.1052173786848882</x:v>
      </x:c>
      <x:c r="D42" s="18" t="n">
        <x:v>0</x:v>
      </x:c>
      <x:c r="E42" s="17" t="n">
        <x:v>0.14335597721771978</x:v>
      </x:c>
      <x:c r="F42" s="18" t="n">
        <x:v>10</x:v>
      </x:c>
      <x:c r="G42" s="17" t="n">
        <x:v>0.14606745033212648</x:v>
      </x:c>
      <x:c r="H42" s="11" t="n">
        <x:f>1/G42</x:f>
        <x:v>6.846152224374503</x:v>
      </x:c>
      <x:c r="I42" s="17" t="n">
        <x:v>6.89320597299113</x:v>
      </x:c>
      <x:c r="J42" s="11" t="n">
        <x:f>I42/H42</x:f>
        <x:v>1.0068730210889996</x:v>
      </x:c>
      <x:c r="K42" s="16" t="n">
        <x:f>COUNTIFS($J$8:$J$437,"&gt;"&amp;J42)+COUNTIFS($J$8:J42,J42)</x:f>
        <x:v>279</x:v>
      </x:c>
      <x:c r="L42" s="16" t="n">
        <x:f>IF(K42&lt;='Wyniki'!$B$6,1,0)</x:f>
        <x:v>0</x:v>
      </x:c>
      <x:c r="M42" s="17" t="n">
        <x:v>0.302698272665155</x:v>
      </x:c>
      <x:c r="N42" s="18" t="n">
        <x:v>40</x:v>
      </x:c>
      <x:c r="O42" s="17" t="n">
        <x:v>0.3041970110371618</x:v>
      </x:c>
      <x:c r="P42" s="11" t="n">
        <x:f>1/O42</x:f>
        <x:v>3.2873432799043396</x:v>
      </x:c>
      <x:c r="Q42" s="17" t="n">
        <x:v>3.344762738918843</x:v>
      </x:c>
      <x:c r="R42" s="11" t="n">
        <x:f>Q42/P42</x:f>
        <x:v>1.0174668278075827</x:v>
      </x:c>
      <x:c r="S42" s="16" t="n">
        <x:f>COUNTIFS($R$8:$R$437,"&gt;"&amp;R42)+COUNTIFS($R$8:R42,R42)</x:f>
        <x:v>248</x:v>
      </x:c>
      <x:c r="T42" s="16" t="n">
        <x:f>IF(S42&lt;='Wyniki'!$B$6,1,0)</x:f>
        <x:v>0</x:v>
      </x:c>
    </x:row>
    <x:row r="43" ht="22" customHeight="1">
      <x:c r="A43" s="18" t="n">
        <x:v>36</x:v>
      </x:c>
      <x:c r="B43" s="17" t="n">
        <x:v>-0.7016274778358571</x:v>
      </x:c>
      <x:c r="C43" s="17" t="n">
        <x:v>-0.6233079677019144</x:v>
      </x:c>
      <x:c r="D43" s="18" t="n">
        <x:v>0</x:v>
      </x:c>
      <x:c r="E43" s="17" t="n">
        <x:v>0.25857795261853134</x:v>
      </x:c>
      <x:c r="F43" s="18" t="n">
        <x:v>10</x:v>
      </x:c>
      <x:c r="G43" s="17" t="n">
        <x:v>0.2227470146973102</x:v>
      </x:c>
      <x:c r="H43" s="11" t="n">
        <x:f>1/G43</x:f>
        <x:v>4.48939798972792</x:v>
      </x:c>
      <x:c r="I43" s="17" t="n">
        <x:v>4.697160400121983</x:v>
      </x:c>
      <x:c r="J43" s="11" t="n">
        <x:f>I43/H43</x:f>
        <x:v>1.0462784566815948</x:v>
      </x:c>
      <x:c r="K43" s="16" t="n">
        <x:f>COUNTIFS($J$8:$J$437,"&gt;"&amp;J43)+COUNTIFS($J$8:J43,J43)</x:f>
        <x:v>186</x:v>
      </x:c>
      <x:c r="L43" s="16" t="n">
        <x:f>IF(K43&lt;='Wyniki'!$B$6,1,0)</x:f>
        <x:v>0</x:v>
      </x:c>
      <x:c r="M43" s="17" t="n">
        <x:v>0.44078472630359006</x:v>
      </x:c>
      <x:c r="N43" s="18" t="n">
        <x:v>40</x:v>
      </x:c>
      <x:c r="O43" s="17" t="n">
        <x:v>0.44141217645083264</x:v>
      </x:c>
      <x:c r="P43" s="11" t="n">
        <x:f>1/O43</x:f>
        <x:v>2.265456308977436</x:v>
      </x:c>
      <x:c r="Q43" s="17" t="n">
        <x:v>2.4431251907192193</x:v>
      </x:c>
      <x:c r="R43" s="11" t="n">
        <x:f>Q43/P43</x:f>
        <x:v>1.078425207777226</x:v>
      </x:c>
      <x:c r="S43" s="16" t="n">
        <x:f>COUNTIFS($R$8:$R$437,"&gt;"&amp;R43)+COUNTIFS($R$8:R43,R43)</x:f>
        <x:v>167</x:v>
      </x:c>
      <x:c r="T43" s="16" t="n">
        <x:f>IF(S43&lt;='Wyniki'!$B$6,1,0)</x:f>
        <x:v>0</x:v>
      </x:c>
    </x:row>
    <x:row r="44" ht="22" customHeight="1">
      <x:c r="A44" s="18" t="n">
        <x:v>37</x:v>
      </x:c>
      <x:c r="B44" s="17" t="n">
        <x:v>-0.5056987573008863</x:v>
      </x:c>
      <x:c r="C44" s="17" t="n">
        <x:v>0.27343840922957025</x:v>
      </x:c>
      <x:c r="D44" s="18" t="n">
        <x:v>0</x:v>
      </x:c>
      <x:c r="E44" s="17" t="n">
        <x:v>0.1521162923804021</x:v>
      </x:c>
      <x:c r="F44" s="18" t="n">
        <x:v>10</x:v>
      </x:c>
      <x:c r="G44" s="17" t="n">
        <x:v>0.15895199984729455</x:v>
      </x:c>
      <x:c r="H44" s="11" t="n">
        <x:f>1/G44</x:f>
        <x:v>6.291207414569818</x:v>
      </x:c>
      <x:c r="I44" s="17" t="n">
        <x:v>6.4843832943550765</x:v>
      </x:c>
      <x:c r="J44" s="11" t="n">
        <x:f>I44/H44</x:f>
        <x:v>1.0307056924141276</x:v>
      </x:c>
      <x:c r="K44" s="16" t="n">
        <x:f>COUNTIFS($J$8:$J$437,"&gt;"&amp;J44)+COUNTIFS($J$8:J44,J44)</x:f>
        <x:v>214</x:v>
      </x:c>
      <x:c r="L44" s="16" t="n">
        <x:f>IF(K44&lt;='Wyniki'!$B$6,1,0)</x:f>
        <x:v>0</x:v>
      </x:c>
      <x:c r="M44" s="17" t="n">
        <x:v>0.3637686409713063</x:v>
      </x:c>
      <x:c r="N44" s="18" t="n">
        <x:v>40</x:v>
      </x:c>
      <x:c r="O44" s="17" t="n">
        <x:v>0.3474656807495432</x:v>
      </x:c>
      <x:c r="P44" s="11" t="n">
        <x:f>1/O44</x:f>
        <x:v>2.8779820724821747</x:v>
      </x:c>
      <x:c r="Q44" s="17" t="n">
        <x:v>3.0128729764219235</x:v>
      </x:c>
      <x:c r="R44" s="11" t="n">
        <x:f>Q44/P44</x:f>
        <x:v>1.046869959764346</x:v>
      </x:c>
      <x:c r="S44" s="16" t="n">
        <x:f>COUNTIFS($R$8:$R$437,"&gt;"&amp;R44)+COUNTIFS($R$8:R44,R44)</x:f>
        <x:v>204</x:v>
      </x:c>
      <x:c r="T44" s="16" t="n">
        <x:f>IF(S44&lt;='Wyniki'!$B$6,1,0)</x:f>
        <x:v>0</x:v>
      </x:c>
    </x:row>
    <x:row r="45" ht="22" customHeight="1">
      <x:c r="A45" s="18" t="n">
        <x:v>38</x:v>
      </x:c>
      <x:c r="B45" s="17" t="n">
        <x:v>0.07833415483881088</x:v>
      </x:c>
      <x:c r="C45" s="17" t="n">
        <x:v>0.37976694473727257</x:v>
      </x:c>
      <x:c r="D45" s="18" t="n">
        <x:v>0</x:v>
      </x:c>
      <x:c r="E45" s="17" t="n">
        <x:v>0.15103639302089758</x:v>
      </x:c>
      <x:c r="F45" s="18" t="n">
        <x:v>10</x:v>
      </x:c>
      <x:c r="G45" s="17" t="n">
        <x:v>0.15422151003177506</x:v>
      </x:c>
      <x:c r="H45" s="11" t="n">
        <x:f>1/G45</x:f>
        <x:v>6.484179799523197</x:v>
      </x:c>
      <x:c r="I45" s="17" t="n">
        <x:v>6.504930510635596</x:v>
      </x:c>
      <x:c r="J45" s="11" t="n">
        <x:f>I45/H45</x:f>
        <x:v>1.0032002060019873</x:v>
      </x:c>
      <x:c r="K45" s="16" t="n">
        <x:f>COUNTIFS($J$8:$J$437,"&gt;"&amp;J45)+COUNTIFS($J$8:J45,J45)</x:f>
        <x:v>295</x:v>
      </x:c>
      <x:c r="L45" s="16" t="n">
        <x:f>IF(K45&lt;='Wyniki'!$B$6,1,0)</x:f>
        <x:v>0</x:v>
      </x:c>
      <x:c r="M45" s="17" t="n">
        <x:v>0.28235169728303877</x:v>
      </x:c>
      <x:c r="N45" s="18" t="n">
        <x:v>40</x:v>
      </x:c>
      <x:c r="O45" s="17" t="n">
        <x:v>0.2808823517593183</x:v>
      </x:c>
      <x:c r="P45" s="11" t="n">
        <x:f>1/O45</x:f>
        <x:v>3.5602094390639296</x:v>
      </x:c>
      <x:c r="Q45" s="17" t="n">
        <x:v>3.5448816648196355</x:v>
      </x:c>
      <x:c r="R45" s="11" t="n">
        <x:f>Q45/P45</x:f>
        <x:v>0.9956946987230267</x:v>
      </x:c>
      <x:c r="S45" s="16" t="n">
        <x:f>COUNTIFS($R$8:$R$437,"&gt;"&amp;R45)+COUNTIFS($R$8:R45,R45)</x:f>
        <x:v>328</x:v>
      </x:c>
      <x:c r="T45" s="16" t="n">
        <x:f>IF(S45&lt;='Wyniki'!$B$6,1,0)</x:f>
        <x:v>0</x:v>
      </x:c>
    </x:row>
    <x:row r="46" ht="22" customHeight="1">
      <x:c r="A46" s="18" t="n">
        <x:v>39</x:v>
      </x:c>
      <x:c r="B46" s="17" t="n">
        <x:v>-0.23498895548509385</x:v>
      </x:c>
      <x:c r="C46" s="17" t="n">
        <x:v>0.08719683009219284</x:v>
      </x:c>
      <x:c r="D46" s="18" t="n">
        <x:v>0</x:v>
      </x:c>
      <x:c r="E46" s="17" t="n">
        <x:v>0.13715479563838087</x:v>
      </x:c>
      <x:c r="F46" s="18" t="n">
        <x:v>10</x:v>
      </x:c>
      <x:c r="G46" s="17" t="n">
        <x:v>0.12784261688639012</x:v>
      </x:c>
      <x:c r="H46" s="11" t="n">
        <x:f>1/G46</x:f>
        <x:v>7.82211772846194</x:v>
      </x:c>
      <x:c r="I46" s="17" t="n">
        <x:v>8.349063926697227</x:v>
      </x:c>
      <x:c r="J46" s="11" t="n">
        <x:f>I46/H46</x:f>
        <x:v>1.0673661809407335</x:v>
      </x:c>
      <x:c r="K46" s="16" t="n">
        <x:f>COUNTIFS($J$8:$J$437,"&gt;"&amp;J46)+COUNTIFS($J$8:J46,J46)</x:f>
        <x:v>152</x:v>
      </x:c>
      <x:c r="L46" s="16" t="n">
        <x:f>IF(K46&lt;='Wyniki'!$B$6,1,0)</x:f>
        <x:v>0</x:v>
      </x:c>
      <x:c r="M46" s="17" t="n">
        <x:v>0.27248818621793397</x:v>
      </x:c>
      <x:c r="N46" s="18" t="n">
        <x:v>40</x:v>
      </x:c>
      <x:c r="O46" s="17" t="n">
        <x:v>0.2723223487893646</x:v>
      </x:c>
      <x:c r="P46" s="11" t="n">
        <x:f>1/O46</x:f>
        <x:v>3.672118738860754</x:v>
      </x:c>
      <x:c r="Q46" s="17" t="n">
        <x:v>3.6125833131541563</x:v>
      </x:c>
      <x:c r="R46" s="11" t="n">
        <x:f>Q46/P46</x:f>
        <x:v>0.9837871730354045</x:v>
      </x:c>
      <x:c r="S46" s="16" t="n">
        <x:f>COUNTIFS($R$8:$R$437,"&gt;"&amp;R46)+COUNTIFS($R$8:R46,R46)</x:f>
        <x:v>373</x:v>
      </x:c>
      <x:c r="T46" s="16" t="n">
        <x:f>IF(S46&lt;='Wyniki'!$B$6,1,0)</x:f>
        <x:v>0</x:v>
      </x:c>
    </x:row>
    <x:row r="47" ht="22" customHeight="1">
      <x:c r="A47" s="18" t="n">
        <x:v>40</x:v>
      </x:c>
      <x:c r="B47" s="17" t="n">
        <x:v>0.3440747166820352</x:v>
      </x:c>
      <x:c r="C47" s="17" t="n">
        <x:v>-0.17014059684613114</x:v>
      </x:c>
      <x:c r="D47" s="18" t="n">
        <x:v>0</x:v>
      </x:c>
      <x:c r="E47" s="17" t="n">
        <x:v>0.1180208294919267</x:v>
      </x:c>
      <x:c r="F47" s="18" t="n">
        <x:v>10</x:v>
      </x:c>
      <x:c r="G47" s="17" t="n">
        <x:v>0.13151773086625546</x:v>
      </x:c>
      <x:c r="H47" s="11" t="n">
        <x:f>1/G47</x:f>
        <x:v>7.603537510975852</x:v>
      </x:c>
      <x:c r="I47" s="17" t="n">
        <x:v>7.446893282668514</x:v>
      </x:c>
      <x:c r="J47" s="11" t="n">
        <x:f>I47/H47</x:f>
        <x:v>0.9793985065397232</x:v>
      </x:c>
      <x:c r="K47" s="16" t="n">
        <x:f>COUNTIFS($J$8:$J$437,"&gt;"&amp;J47)+COUNTIFS($J$8:J47,J47)</x:f>
        <x:v>381</x:v>
      </x:c>
      <x:c r="L47" s="16" t="n">
        <x:f>IF(K47&lt;='Wyniki'!$B$6,1,0)</x:f>
        <x:v>0</x:v>
      </x:c>
      <x:c r="M47" s="17" t="n">
        <x:v>0.30690573512742614</x:v>
      </x:c>
      <x:c r="N47" s="18" t="n">
        <x:v>40</x:v>
      </x:c>
      <x:c r="O47" s="17" t="n">
        <x:v>0.2895272326518277</x:v>
      </x:c>
      <x:c r="P47" s="11" t="n">
        <x:f>1/O47</x:f>
        <x:v>3.453906531834104</x:v>
      </x:c>
      <x:c r="Q47" s="17" t="n">
        <x:v>3.463209958491948</x:v>
      </x:c>
      <x:c r="R47" s="11" t="n">
        <x:f>Q47/P47</x:f>
        <x:v>1.002693595374425</x:v>
      </x:c>
      <x:c r="S47" s="16" t="n">
        <x:f>COUNTIFS($R$8:$R$437,"&gt;"&amp;R47)+COUNTIFS($R$8:R47,R47)</x:f>
        <x:v>303</x:v>
      </x:c>
      <x:c r="T47" s="16" t="n">
        <x:f>IF(S47&lt;='Wyniki'!$B$6,1,0)</x:f>
        <x:v>0</x:v>
      </x:c>
    </x:row>
    <x:row r="48" ht="22" customHeight="1">
      <x:c r="A48" s="18" t="n">
        <x:v>41</x:v>
      </x:c>
      <x:c r="B48" s="17" t="n">
        <x:v>0.2512263806565763</x:v>
      </x:c>
      <x:c r="C48" s="17" t="n">
        <x:v>-0.36405926758665824</x:v>
      </x:c>
      <x:c r="D48" s="18" t="n">
        <x:v>0</x:v>
      </x:c>
      <x:c r="E48" s="17" t="n">
        <x:v>0.15246305176770794</x:v>
      </x:c>
      <x:c r="F48" s="18" t="n">
        <x:v>10</x:v>
      </x:c>
      <x:c r="G48" s="17" t="n">
        <x:v>0.15135930741015668</x:v>
      </x:c>
      <x:c r="H48" s="11" t="n">
        <x:f>1/G48</x:f>
        <x:v>6.60679555892905</x:v>
      </x:c>
      <x:c r="I48" s="17" t="n">
        <x:v>6.726239884525542</x:v>
      </x:c>
      <x:c r="J48" s="11" t="n">
        <x:f>I48/H48</x:f>
        <x:v>1.0180790103963584</x:v>
      </x:c>
      <x:c r="K48" s="16" t="n">
        <x:f>COUNTIFS($J$8:$J$437,"&gt;"&amp;J48)+COUNTIFS($J$8:J48,J48)</x:f>
        <x:v>245</x:v>
      </x:c>
      <x:c r="L48" s="16" t="n">
        <x:f>IF(K48&lt;='Wyniki'!$B$6,1,0)</x:f>
        <x:v>0</x:v>
      </x:c>
      <x:c r="M48" s="17" t="n">
        <x:v>0.2893257965094005</x:v>
      </x:c>
      <x:c r="N48" s="18" t="n">
        <x:v>40</x:v>
      </x:c>
      <x:c r="O48" s="17" t="n">
        <x:v>0.3021856886176006</x:v>
      </x:c>
      <x:c r="P48" s="11" t="n">
        <x:f>1/O48</x:f>
        <x:v>3.3092235591125068</x:v>
      </x:c>
      <x:c r="Q48" s="17" t="n">
        <x:v>3.34181157129117</x:v>
      </x:c>
      <x:c r="R48" s="11" t="n">
        <x:f>Q48/P48</x:f>
        <x:v>1.0098476309008881</x:v>
      </x:c>
      <x:c r="S48" s="16" t="n">
        <x:f>COUNTIFS($R$8:$R$437,"&gt;"&amp;R48)+COUNTIFS($R$8:R48,R48)</x:f>
        <x:v>268</x:v>
      </x:c>
      <x:c r="T48" s="16" t="n">
        <x:f>IF(S48&lt;='Wyniki'!$B$6,1,0)</x:f>
        <x:v>0</x:v>
      </x:c>
    </x:row>
    <x:row r="49" ht="22" customHeight="1">
      <x:c r="A49" s="18" t="n">
        <x:v>42</x:v>
      </x:c>
      <x:c r="B49" s="17" t="n">
        <x:v>-0.1996796156107895</x:v>
      </x:c>
      <x:c r="C49" s="17" t="n">
        <x:v>-0.20995584169908102</x:v>
      </x:c>
      <x:c r="D49" s="18" t="n">
        <x:v>0</x:v>
      </x:c>
      <x:c r="E49" s="17" t="n">
        <x:v>0.157233700554322</x:v>
      </x:c>
      <x:c r="F49" s="18" t="n">
        <x:v>10</x:v>
      </x:c>
      <x:c r="G49" s="17" t="n">
        <x:v>0.1549555210662685</x:v>
      </x:c>
      <x:c r="H49" s="11" t="n">
        <x:f>1/G49</x:f>
        <x:v>6.45346479505134</x:v>
      </x:c>
      <x:c r="I49" s="17" t="n">
        <x:v>6.678276440628511</x:v>
      </x:c>
      <x:c r="J49" s="11" t="n">
        <x:f>I49/H49</x:f>
        <x:v>1.0348358056821758</x:v>
      </x:c>
      <x:c r="K49" s="16" t="n">
        <x:f>COUNTIFS($J$8:$J$437,"&gt;"&amp;J49)+COUNTIFS($J$8:J49,J49)</x:f>
        <x:v>204</x:v>
      </x:c>
      <x:c r="L49" s="16" t="n">
        <x:f>IF(K49&lt;='Wyniki'!$B$6,1,0)</x:f>
        <x:v>0</x:v>
      </x:c>
      <x:c r="M49" s="17" t="n">
        <x:v>0.29924314500929117</x:v>
      </x:c>
      <x:c r="N49" s="18" t="n">
        <x:v>40</x:v>
      </x:c>
      <x:c r="O49" s="17" t="n">
        <x:v>0.28853261505376243</x:v>
      </x:c>
      <x:c r="P49" s="11" t="n">
        <x:f>1/O49</x:f>
        <x:v>3.4658126943939056</x:v>
      </x:c>
      <x:c r="Q49" s="17" t="n">
        <x:v>3.4671277411540786</x:v>
      </x:c>
      <x:c r="R49" s="11" t="n">
        <x:f>Q49/P49</x:f>
        <x:v>1.0003794338806307</x:v>
      </x:c>
      <x:c r="S49" s="16" t="n">
        <x:f>COUNTIFS($R$8:$R$437,"&gt;"&amp;R49)+COUNTIFS($R$8:R49,R49)</x:f>
        <x:v>314</x:v>
      </x:c>
      <x:c r="T49" s="16" t="n">
        <x:f>IF(S49&lt;='Wyniki'!$B$6,1,0)</x:f>
        <x:v>0</x:v>
      </x:c>
    </x:row>
    <x:row r="50" ht="22" customHeight="1">
      <x:c r="A50" s="18" t="n">
        <x:v>43</x:v>
      </x:c>
      <x:c r="B50" s="17" t="n">
        <x:v>-0.6577118050739719</x:v>
      </x:c>
      <x:c r="C50" s="17" t="n">
        <x:v>0.26783486443207</x:v>
      </x:c>
      <x:c r="D50" s="18" t="n">
        <x:v>0</x:v>
      </x:c>
      <x:c r="E50" s="17" t="n">
        <x:v>0.19397086869772115</x:v>
      </x:c>
      <x:c r="F50" s="18" t="n">
        <x:v>10</x:v>
      </x:c>
      <x:c r="G50" s="17" t="n">
        <x:v>0.17646983579058184</x:v>
      </x:c>
      <x:c r="H50" s="11" t="n">
        <x:f>1/G50</x:f>
        <x:v>5.666690828605451</x:v>
      </x:c>
      <x:c r="I50" s="17" t="n">
        <x:v>5.501028377986948</x:v>
      </x:c>
      <x:c r="J50" s="11" t="n">
        <x:f>I50/H50</x:f>
        <x:v>0.9707655745426874</x:v>
      </x:c>
      <x:c r="K50" s="16" t="n">
        <x:f>COUNTIFS($J$8:$J$437,"&gt;"&amp;J50)+COUNTIFS($J$8:J50,J50)</x:f>
        <x:v>401</x:v>
      </x:c>
      <x:c r="L50" s="16" t="n">
        <x:f>IF(K50&lt;='Wyniki'!$B$6,1,0)</x:f>
        <x:v>0</x:v>
      </x:c>
      <x:c r="M50" s="17" t="n">
        <x:v>0.39398747642984366</x:v>
      </x:c>
      <x:c r="N50" s="18" t="n">
        <x:v>40</x:v>
      </x:c>
      <x:c r="O50" s="17" t="n">
        <x:v>0.38231984525448504</x:v>
      </x:c>
      <x:c r="P50" s="11" t="n">
        <x:f>1/O50</x:f>
        <x:v>2.6156110189215163</x:v>
      </x:c>
      <x:c r="Q50" s="17" t="n">
        <x:v>2.780666902207649</x:v>
      </x:c>
      <x:c r="R50" s="11" t="n">
        <x:f>Q50/P50</x:f>
        <x:v>1.0631041397562966</x:v>
      </x:c>
      <x:c r="S50" s="16" t="n">
        <x:f>COUNTIFS($R$8:$R$437,"&gt;"&amp;R50)+COUNTIFS($R$8:R50,R50)</x:f>
        <x:v>182</x:v>
      </x:c>
      <x:c r="T50" s="16" t="n">
        <x:f>IF(S50&lt;='Wyniki'!$B$6,1,0)</x:f>
        <x:v>0</x:v>
      </x:c>
    </x:row>
    <x:row r="51" ht="22" customHeight="1">
      <x:c r="A51" s="18" t="n">
        <x:v>44</x:v>
      </x:c>
      <x:c r="B51" s="17" t="n">
        <x:v>-0.25817128711149817</x:v>
      </x:c>
      <x:c r="C51" s="17" t="n">
        <x:v>0.0068717653002280865</x:v>
      </x:c>
      <x:c r="D51" s="18" t="n">
        <x:v>0</x:v>
      </x:c>
      <x:c r="E51" s="17" t="n">
        <x:v>0.15176450235684186</x:v>
      </x:c>
      <x:c r="F51" s="18" t="n">
        <x:v>10</x:v>
      </x:c>
      <x:c r="G51" s="17" t="n">
        <x:v>0.14442060256692046</x:v>
      </x:c>
      <x:c r="H51" s="11" t="n">
        <x:f>1/G51</x:f>
        <x:v>6.924219828930765</x:v>
      </x:c>
      <x:c r="I51" s="17" t="n">
        <x:v>7.8235966130034855</x:v>
      </x:c>
      <x:c r="J51" s="11" t="n">
        <x:f>I51/H51</x:f>
        <x:v>1.1298885370904814</x:v>
      </x:c>
      <x:c r="K51" s="16" t="n">
        <x:f>COUNTIFS($J$8:$J$437,"&gt;"&amp;J51)+COUNTIFS($J$8:J51,J51)</x:f>
        <x:v>95</x:v>
      </x:c>
      <x:c r="L51" s="16" t="n">
        <x:f>IF(K51&lt;='Wyniki'!$B$6,1,0)</x:f>
        <x:v>0</x:v>
      </x:c>
      <x:c r="M51" s="17" t="n">
        <x:v>0.26830724690962443</x:v>
      </x:c>
      <x:c r="N51" s="18" t="n">
        <x:v>40</x:v>
      </x:c>
      <x:c r="O51" s="17" t="n">
        <x:v>0.27649433949928626</x:v>
      </x:c>
      <x:c r="P51" s="11" t="n">
        <x:f>1/O51</x:f>
        <x:v>3.6167105692323998</x:v>
      </x:c>
      <x:c r="Q51" s="17" t="n">
        <x:v>3.5713267567651372</x:v>
      </x:c>
      <x:c r="R51" s="11" t="n">
        <x:f>Q51/P51</x:f>
        <x:v>0.9874516327479048</x:v>
      </x:c>
      <x:c r="S51" s="16" t="n">
        <x:f>COUNTIFS($R$8:$R$437,"&gt;"&amp;R51)+COUNTIFS($R$8:R51,R51)</x:f>
        <x:v>355</x:v>
      </x:c>
      <x:c r="T51" s="16" t="n">
        <x:f>IF(S51&lt;='Wyniki'!$B$6,1,0)</x:f>
        <x:v>0</x:v>
      </x:c>
    </x:row>
    <x:row r="52" ht="22" customHeight="1">
      <x:c r="A52" s="18" t="n">
        <x:v>45</x:v>
      </x:c>
      <x:c r="B52" s="17" t="n">
        <x:v>0.26441066239824995</x:v>
      </x:c>
      <x:c r="C52" s="17" t="n">
        <x:v>0.24559214681646926</x:v>
      </x:c>
      <x:c r="D52" s="18" t="n">
        <x:v>0</x:v>
      </x:c>
      <x:c r="E52" s="17" t="n">
        <x:v>0.14640352703856205</x:v>
      </x:c>
      <x:c r="F52" s="18" t="n">
        <x:v>10</x:v>
      </x:c>
      <x:c r="G52" s="17" t="n">
        <x:v>0.129721021211108</x:v>
      </x:c>
      <x:c r="H52" s="11" t="n">
        <x:f>1/G52</x:f>
        <x:v>7.708850814337946</x:v>
      </x:c>
      <x:c r="I52" s="17" t="n">
        <x:v>7.666133388833904</x:v>
      </x:c>
      <x:c r="J52" s="11" t="n">
        <x:f>I52/H52</x:f>
        <x:v>0.9944586519401062</x:v>
      </x:c>
      <x:c r="K52" s="16" t="n">
        <x:f>COUNTIFS($J$8:$J$437,"&gt;"&amp;J52)+COUNTIFS($J$8:J52,J52)</x:f>
        <x:v>332</x:v>
      </x:c>
      <x:c r="L52" s="16" t="n">
        <x:f>IF(K52&lt;='Wyniki'!$B$6,1,0)</x:f>
        <x:v>0</x:v>
      </x:c>
      <x:c r="M52" s="17" t="n">
        <x:v>0.2459407657202162</x:v>
      </x:c>
      <x:c r="N52" s="18" t="n">
        <x:v>40</x:v>
      </x:c>
      <x:c r="O52" s="17" t="n">
        <x:v>0.2673898181207693</x:v>
      </x:c>
      <x:c r="P52" s="11" t="n">
        <x:f>1/O52</x:f>
        <x:v>3.7398581854315034</x:v>
      </x:c>
      <x:c r="Q52" s="17" t="n">
        <x:v>3.643033202611168</x:v>
      </x:c>
      <x:c r="R52" s="11" t="n">
        <x:f>Q52/P52</x:f>
        <x:v>0.9741099854541239</x:v>
      </x:c>
      <x:c r="S52" s="16" t="n">
        <x:f>COUNTIFS($R$8:$R$437,"&gt;"&amp;R52)+COUNTIFS($R$8:R52,R52)</x:f>
        <x:v>414</x:v>
      </x:c>
      <x:c r="T52" s="16" t="n">
        <x:f>IF(S52&lt;='Wyniki'!$B$6,1,0)</x:f>
        <x:v>0</x:v>
      </x:c>
    </x:row>
    <x:row r="53" ht="22" customHeight="1">
      <x:c r="A53" s="18" t="n">
        <x:v>46</x:v>
      </x:c>
      <x:c r="B53" s="17" t="n">
        <x:v>0.36596180993503247</x:v>
      </x:c>
      <x:c r="C53" s="17" t="n">
        <x:v>-0.05416701648018299</x:v>
      </x:c>
      <x:c r="D53" s="18" t="n">
        <x:v>0</x:v>
      </x:c>
      <x:c r="E53" s="17" t="n">
        <x:v>0.13484242474444796</x:v>
      </x:c>
      <x:c r="F53" s="18" t="n">
        <x:v>10</x:v>
      </x:c>
      <x:c r="G53" s="17" t="n">
        <x:v>0.13578870219637426</x:v>
      </x:c>
      <x:c r="H53" s="11" t="n">
        <x:f>1/G53</x:f>
        <x:v>7.364382926009741</x:v>
      </x:c>
      <x:c r="I53" s="17" t="n">
        <x:v>7.465601395783895</x:v>
      </x:c>
      <x:c r="J53" s="11" t="n">
        <x:f>I53/H53</x:f>
        <x:v>1.0137443246489353</x:v>
      </x:c>
      <x:c r="K53" s="16" t="n">
        <x:f>COUNTIFS($J$8:$J$437,"&gt;"&amp;J53)+COUNTIFS($J$8:J53,J53)</x:f>
        <x:v>255</x:v>
      </x:c>
      <x:c r="L53" s="16" t="n">
        <x:f>IF(K53&lt;='Wyniki'!$B$6,1,0)</x:f>
        <x:v>0</x:v>
      </x:c>
      <x:c r="M53" s="17" t="n">
        <x:v>0.2654511214571374</x:v>
      </x:c>
      <x:c r="N53" s="18" t="n">
        <x:v>40</x:v>
      </x:c>
      <x:c r="O53" s="17" t="n">
        <x:v>0.2816591024242687</x:v>
      </x:c>
      <x:c r="P53" s="11" t="n">
        <x:f>1/O53</x:f>
        <x:v>3.5503912048036</x:v>
      </x:c>
      <x:c r="Q53" s="17" t="n">
        <x:v>3.5309850982568265</x:v>
      </x:c>
      <x:c r="R53" s="11" t="n">
        <x:f>Q53/P53</x:f>
        <x:v>0.994534093448486</x:v>
      </x:c>
      <x:c r="S53" s="16" t="n">
        <x:f>COUNTIFS($R$8:$R$437,"&gt;"&amp;R53)+COUNTIFS($R$8:R53,R53)</x:f>
        <x:v>331</x:v>
      </x:c>
      <x:c r="T53" s="16" t="n">
        <x:f>IF(S53&lt;='Wyniki'!$B$6,1,0)</x:f>
        <x:v>0</x:v>
      </x:c>
    </x:row>
    <x:row r="54" ht="22" customHeight="1">
      <x:c r="A54" s="18" t="n">
        <x:v>47</x:v>
      </x:c>
      <x:c r="B54" s="17" t="n">
        <x:v>-0.23281407162428458</x:v>
      </x:c>
      <x:c r="C54" s="17" t="n">
        <x:v>-0.04384501599851948</x:v>
      </x:c>
      <x:c r="D54" s="18" t="n">
        <x:v>0</x:v>
      </x:c>
      <x:c r="E54" s="17" t="n">
        <x:v>0.14821997131931258</x:v>
      </x:c>
      <x:c r="F54" s="18" t="n">
        <x:v>10</x:v>
      </x:c>
      <x:c r="G54" s="17" t="n">
        <x:v>0.14293488661293924</x:v>
      </x:c>
      <x:c r="H54" s="11" t="n">
        <x:f>1/G54</x:f>
        <x:v>6.996192627961791</x:v>
      </x:c>
      <x:c r="I54" s="17" t="n">
        <x:v>7.205623014685744</x:v>
      </x:c>
      <x:c r="J54" s="11" t="n">
        <x:f>I54/H54</x:f>
        <x:v>1.0299349085796923</x:v>
      </x:c>
      <x:c r="K54" s="16" t="n">
        <x:f>COUNTIFS($J$8:$J$437,"&gt;"&amp;J54)+COUNTIFS($J$8:J54,J54)</x:f>
        <x:v>218</x:v>
      </x:c>
      <x:c r="L54" s="16" t="n">
        <x:f>IF(K54&lt;='Wyniki'!$B$6,1,0)</x:f>
        <x:v>0</x:v>
      </x:c>
      <x:c r="M54" s="17" t="n">
        <x:v>0.28284926844419567</x:v>
      </x:c>
      <x:c r="N54" s="18" t="n">
        <x:v>40</x:v>
      </x:c>
      <x:c r="O54" s="17" t="n">
        <x:v>0.27767306229354827</x:v>
      </x:c>
      <x:c r="P54" s="11" t="n">
        <x:f>1/O54</x:f>
        <x:v>3.601357624467107</x:v>
      </x:c>
      <x:c r="Q54" s="17" t="n">
        <x:v>3.5860105540411538</x:v>
      </x:c>
      <x:c r="R54" s="11" t="n">
        <x:f>Q54/P54</x:f>
        <x:v>0.9957385319575908</x:v>
      </x:c>
      <x:c r="S54" s="16" t="n">
        <x:f>COUNTIFS($R$8:$R$437,"&gt;"&amp;R54)+COUNTIFS($R$8:R54,R54)</x:f>
        <x:v>327</x:v>
      </x:c>
      <x:c r="T54" s="16" t="n">
        <x:f>IF(S54&lt;='Wyniki'!$B$6,1,0)</x:f>
        <x:v>0</x:v>
      </x:c>
    </x:row>
    <x:row r="55" ht="22" customHeight="1">
      <x:c r="A55" s="18" t="n">
        <x:v>48</x:v>
      </x:c>
      <x:c r="B55" s="17" t="n">
        <x:v>-0.9280339386769165</x:v>
      </x:c>
      <x:c r="C55" s="17" t="n">
        <x:v>-0.7959118598326981</x:v>
      </x:c>
      <x:c r="D55" s="18" t="n">
        <x:v>0</x:v>
      </x:c>
      <x:c r="E55" s="17" t="n">
        <x:v>0.3414859857179831</x:v>
      </x:c>
      <x:c r="F55" s="18" t="n">
        <x:v>10</x:v>
      </x:c>
      <x:c r="G55" s="17" t="n">
        <x:v>0.3330055814872665</x:v>
      </x:c>
      <x:c r="H55" s="11" t="n">
        <x:f>1/G55</x:f>
        <x:v>3.0029526698435776</x:v>
      </x:c>
      <x:c r="I55" s="17" t="n">
        <x:v>3.405735121513504</x:v>
      </x:c>
      <x:c r="J55" s="11" t="n">
        <x:f>I55/H55</x:f>
        <x:v>1.1341288045312108</x:v>
      </x:c>
      <x:c r="K55" s="16" t="n">
        <x:f>COUNTIFS($J$8:$J$437,"&gt;"&amp;J55)+COUNTIFS($J$8:J55,J55)</x:f>
        <x:v>92</x:v>
      </x:c>
      <x:c r="L55" s="16" t="n">
        <x:f>IF(K55&lt;='Wyniki'!$B$6,1,0)</x:f>
        <x:v>0</x:v>
      </x:c>
      <x:c r="M55" s="17" t="n">
        <x:v>0.6106359616188989</x:v>
      </x:c>
      <x:c r="N55" s="18" t="n">
        <x:v>40</x:v>
      </x:c>
      <x:c r="O55" s="17" t="n">
        <x:v>0.5850240623479743</x:v>
      </x:c>
      <x:c r="P55" s="11" t="n">
        <x:f>1/O55</x:f>
        <x:v>1.709331400808599</x:v>
      </x:c>
      <x:c r="Q55" s="17" t="n">
        <x:v>2.2124814316175483</x:v>
      </x:c>
      <x:c r="R55" s="11" t="n">
        <x:f>Q55/P55</x:f>
        <x:v>1.29435487499436</x:v>
      </x:c>
      <x:c r="S55" s="16" t="n">
        <x:f>COUNTIFS($R$8:$R$437,"&gt;"&amp;R55)+COUNTIFS($R$8:R55,R55)</x:f>
        <x:v>84</x:v>
      </x:c>
      <x:c r="T55" s="16" t="n">
        <x:f>IF(S55&lt;='Wyniki'!$B$6,1,0)</x:f>
        <x:v>0</x:v>
      </x:c>
    </x:row>
    <x:row r="56" ht="22" customHeight="1">
      <x:c r="A56" s="18" t="n">
        <x:v>49</x:v>
      </x:c>
      <x:c r="B56" s="17" t="n">
        <x:v>-0.7274847867949213</x:v>
      </x:c>
      <x:c r="C56" s="17" t="n">
        <x:v>-0.548485755180815</x:v>
      </x:c>
      <x:c r="D56" s="18" t="n">
        <x:v>0</x:v>
      </x:c>
      <x:c r="E56" s="17" t="n">
        <x:v>0.22107981033170812</x:v>
      </x:c>
      <x:c r="F56" s="18" t="n">
        <x:v>10</x:v>
      </x:c>
      <x:c r="G56" s="17" t="n">
        <x:v>0.2291326838789503</x:v>
      </x:c>
      <x:c r="H56" s="11" t="n">
        <x:f>1/G56</x:f>
        <x:v>4.36428353681876</x:v>
      </x:c>
      <x:c r="I56" s="17" t="n">
        <x:v>4.5357998120137974</x:v>
      </x:c>
      <x:c r="J56" s="11" t="n">
        <x:f>I56/H56</x:f>
        <x:v>1.0392999844643596</x:v>
      </x:c>
      <x:c r="K56" s="16" t="n">
        <x:f>COUNTIFS($J$8:$J$437,"&gt;"&amp;J56)+COUNTIFS($J$8:J56,J56)</x:f>
        <x:v>199</x:v>
      </x:c>
      <x:c r="L56" s="16" t="n">
        <x:f>IF(K56&lt;='Wyniki'!$B$6,1,0)</x:f>
        <x:v>0</x:v>
      </x:c>
      <x:c r="M56" s="17" t="n">
        <x:v>0.4279883848425992</x:v>
      </x:c>
      <x:c r="N56" s="18" t="n">
        <x:v>40</x:v>
      </x:c>
      <x:c r="O56" s="17" t="n">
        <x:v>0.4261080781504587</x:v>
      </x:c>
      <x:c r="P56" s="11" t="n">
        <x:f>1/O56</x:f>
        <x:v>2.3468224407773377</x:v>
      </x:c>
      <x:c r="Q56" s="17" t="n">
        <x:v>2.514092147573817</x:v>
      </x:c>
      <x:c r="R56" s="11" t="n">
        <x:f>Q56/P56</x:f>
        <x:v>1.0712749732958384</x:v>
      </x:c>
      <x:c r="S56" s="16" t="n">
        <x:f>COUNTIFS($R$8:$R$437,"&gt;"&amp;R56)+COUNTIFS($R$8:R56,R56)</x:f>
        <x:v>171</x:v>
      </x:c>
      <x:c r="T56" s="16" t="n">
        <x:f>IF(S56&lt;='Wyniki'!$B$6,1,0)</x:f>
        <x:v>0</x:v>
      </x:c>
    </x:row>
    <x:row r="57" ht="22" customHeight="1">
      <x:c r="A57" s="18" t="n">
        <x:v>50</x:v>
      </x:c>
      <x:c r="B57" s="17" t="n">
        <x:v>0.21987582469789016</x:v>
      </x:c>
      <x:c r="C57" s="17" t="n">
        <x:v>-0.49801348044803345</x:v>
      </x:c>
      <x:c r="D57" s="18" t="n">
        <x:v>0</x:v>
      </x:c>
      <x:c r="E57" s="17" t="n">
        <x:v>0.1573298663136373</x:v>
      </x:c>
      <x:c r="F57" s="18" t="n">
        <x:v>10</x:v>
      </x:c>
      <x:c r="G57" s="17" t="n">
        <x:v>0.15528736597469242</x:v>
      </x:c>
      <x:c r="H57" s="11" t="n">
        <x:f>1/G57</x:f>
        <x:v>6.4396739150239215</x:v>
      </x:c>
      <x:c r="I57" s="17" t="n">
        <x:v>6.417867291045972</x:v>
      </x:c>
      <x:c r="J57" s="11" t="n">
        <x:f>I57/H57</x:f>
        <x:v>0.9966137068016637</x:v>
      </x:c>
      <x:c r="K57" s="16" t="n">
        <x:f>COUNTIFS($J$8:$J$437,"&gt;"&amp;J57)+COUNTIFS($J$8:J57,J57)</x:f>
        <x:v>323</x:v>
      </x:c>
      <x:c r="L57" s="16" t="n">
        <x:f>IF(K57&lt;='Wyniki'!$B$6,1,0)</x:f>
        <x:v>0</x:v>
      </x:c>
      <x:c r="M57" s="17" t="n">
        <x:v>0.33758603741788545</x:v>
      </x:c>
      <x:c r="N57" s="18" t="n">
        <x:v>40</x:v>
      </x:c>
      <x:c r="O57" s="17" t="n">
        <x:v>0.32016102534181057</x:v>
      </x:c>
      <x:c r="P57" s="11" t="n">
        <x:f>1/O57</x:f>
        <x:v>3.123428277793586</x:v>
      </x:c>
      <x:c r="Q57" s="17" t="n">
        <x:v>3.1922765045620842</x:v>
      </x:c>
      <x:c r="R57" s="11" t="n">
        <x:f>Q57/P57</x:f>
        <x:v>1.0220425188751678</x:v>
      </x:c>
      <x:c r="S57" s="16" t="n">
        <x:f>COUNTIFS($R$8:$R$437,"&gt;"&amp;R57)+COUNTIFS($R$8:R57,R57)</x:f>
        <x:v>233</x:v>
      </x:c>
      <x:c r="T57" s="16" t="n">
        <x:f>IF(S57&lt;='Wyniki'!$B$6,1,0)</x:f>
        <x:v>0</x:v>
      </x:c>
    </x:row>
    <x:row r="58" ht="22" customHeight="1">
      <x:c r="A58" s="18" t="n">
        <x:v>51</x:v>
      </x:c>
      <x:c r="B58" s="17" t="n">
        <x:v>-0.20798940472166436</x:v>
      </x:c>
      <x:c r="C58" s="17" t="n">
        <x:v>0.714575563782336</x:v>
      </x:c>
      <x:c r="D58" s="18" t="n">
        <x:v>0</x:v>
      </x:c>
      <x:c r="E58" s="17" t="n">
        <x:v>0.1725729305124944</x:v>
      </x:c>
      <x:c r="F58" s="18" t="n">
        <x:v>10</x:v>
      </x:c>
      <x:c r="G58" s="17" t="n">
        <x:v>0.203263584167577</x:v>
      </x:c>
      <x:c r="H58" s="11" t="n">
        <x:f>1/G58</x:f>
        <x:v>4.919720392097228</x:v>
      </x:c>
      <x:c r="I58" s="17" t="n">
        <x:v>5.115052519002326</x:v>
      </x:c>
      <x:c r="J58" s="11" t="n">
        <x:f>I58/H58</x:f>
        <x:v>1.0397039082178061</x:v>
      </x:c>
      <x:c r="K58" s="16" t="n">
        <x:f>COUNTIFS($J$8:$J$437,"&gt;"&amp;J58)+COUNTIFS($J$8:J58,J58)</x:f>
        <x:v>197</x:v>
      </x:c>
      <x:c r="L58" s="16" t="n">
        <x:f>IF(K58&lt;='Wyniki'!$B$6,1,0)</x:f>
        <x:v>0</x:v>
      </x:c>
      <x:c r="M58" s="17" t="n">
        <x:v>0.4072170879541917</x:v>
      </x:c>
      <x:c r="N58" s="18" t="n">
        <x:v>40</x:v>
      </x:c>
      <x:c r="O58" s="17" t="n">
        <x:v>0.3983235527382189</x:v>
      </x:c>
      <x:c r="P58" s="11" t="n">
        <x:f>1/O58</x:f>
        <x:v>2.510521893886619</x:v>
      </x:c>
      <x:c r="Q58" s="17" t="n">
        <x:v>2.6785682597518585</x:v>
      </x:c>
      <x:c r="R58" s="11" t="n">
        <x:f>Q58/P58</x:f>
        <x:v>1.0669368254761886</x:v>
      </x:c>
      <x:c r="S58" s="16" t="n">
        <x:f>COUNTIFS($R$8:$R$437,"&gt;"&amp;R58)+COUNTIFS($R$8:R58,R58)</x:f>
        <x:v>179</x:v>
      </x:c>
      <x:c r="T58" s="16" t="n">
        <x:f>IF(S58&lt;='Wyniki'!$B$6,1,0)</x:f>
        <x:v>0</x:v>
      </x:c>
    </x:row>
    <x:row r="59" ht="22" customHeight="1">
      <x:c r="A59" s="18" t="n">
        <x:v>52</x:v>
      </x:c>
      <x:c r="B59" s="17" t="n">
        <x:v>-0.19594518408378428</x:v>
      </x:c>
      <x:c r="C59" s="17" t="n">
        <x:v>0.40563356265689765</x:v>
      </x:c>
      <x:c r="D59" s="18" t="n">
        <x:v>0</x:v>
      </x:c>
      <x:c r="E59" s="17" t="n">
        <x:v>0.16486050584925643</x:v>
      </x:c>
      <x:c r="F59" s="18" t="n">
        <x:v>10</x:v>
      </x:c>
      <x:c r="G59" s="17" t="n">
        <x:v>0.17127743603925927</x:v>
      </x:c>
      <x:c r="H59" s="11" t="n">
        <x:f>1/G59</x:f>
        <x:v>5.838480672788595</x:v>
      </x:c>
      <x:c r="I59" s="17" t="n">
        <x:v>6.364655822169588</x:v>
      </x:c>
      <x:c r="J59" s="11" t="n">
        <x:f>I59/H59</x:f>
        <x:v>1.0901219304935508</x:v>
      </x:c>
      <x:c r="K59" s="16" t="n">
        <x:f>COUNTIFS($J$8:$J$437,"&gt;"&amp;J59)+COUNTIFS($J$8:J59,J59)</x:f>
        <x:v>127</x:v>
      </x:c>
      <x:c r="L59" s="16" t="n">
        <x:f>IF(K59&lt;='Wyniki'!$B$6,1,0)</x:f>
        <x:v>0</x:v>
      </x:c>
      <x:c r="M59" s="17" t="n">
        <x:v>0.2996639488374887</x:v>
      </x:c>
      <x:c r="N59" s="18" t="n">
        <x:v>40</x:v>
      </x:c>
      <x:c r="O59" s="17" t="n">
        <x:v>0.30495171591486575</x:v>
      </x:c>
      <x:c r="P59" s="11" t="n">
        <x:f>1/O59</x:f>
        <x:v>3.2792076509553825</x:v>
      </x:c>
      <x:c r="Q59" s="17" t="n">
        <x:v>3.3492353827573154</x:v>
      </x:c>
      <x:c r="R59" s="11" t="n">
        <x:f>Q59/P59</x:f>
        <x:v>1.0213550769746254</x:v>
      </x:c>
      <x:c r="S59" s="16" t="n">
        <x:f>COUNTIFS($R$8:$R$437,"&gt;"&amp;R59)+COUNTIFS($R$8:R59,R59)</x:f>
        <x:v>236</x:v>
      </x:c>
      <x:c r="T59" s="16" t="n">
        <x:f>IF(S59&lt;='Wyniki'!$B$6,1,0)</x:f>
        <x:v>0</x:v>
      </x:c>
    </x:row>
    <x:row r="60" ht="22" customHeight="1">
      <x:c r="A60" s="18" t="n">
        <x:v>53</x:v>
      </x:c>
      <x:c r="B60" s="17" t="n">
        <x:v>-0.5134897240054324</x:v>
      </x:c>
      <x:c r="C60" s="17" t="n">
        <x:v>-0.11299065682719651</x:v>
      </x:c>
      <x:c r="D60" s="18" t="n">
        <x:v>0</x:v>
      </x:c>
      <x:c r="E60" s="17" t="n">
        <x:v>0.09760644770887361</x:v>
      </x:c>
      <x:c r="F60" s="18" t="n">
        <x:v>10</x:v>
      </x:c>
      <x:c r="G60" s="17" t="n">
        <x:v>0.13559732385223708</x:v>
      </x:c>
      <x:c r="H60" s="11" t="n">
        <x:f>1/G60</x:f>
        <x:v>7.374776814103784</x:v>
      </x:c>
      <x:c r="I60" s="17" t="n">
        <x:v>7.392848811119563</x:v>
      </x:c>
      <x:c r="J60" s="11" t="n">
        <x:f>I60/H60</x:f>
        <x:v>1.0024505144320053</x:v>
      </x:c>
      <x:c r="K60" s="16" t="n">
        <x:f>COUNTIFS($J$8:$J$437,"&gt;"&amp;J60)+COUNTIFS($J$8:J60,J60)</x:f>
        <x:v>301</x:v>
      </x:c>
      <x:c r="L60" s="16" t="n">
        <x:f>IF(K60&lt;='Wyniki'!$B$6,1,0)</x:f>
        <x:v>0</x:v>
      </x:c>
      <x:c r="M60" s="17" t="n">
        <x:v>0.3428021372605536</x:v>
      </x:c>
      <x:c r="N60" s="18" t="n">
        <x:v>40</x:v>
      </x:c>
      <x:c r="O60" s="17" t="n">
        <x:v>0.3298891686215668</x:v>
      </x:c>
      <x:c r="P60" s="11" t="n">
        <x:f>1/O60</x:f>
        <x:v>3.031321107566137</x:v>
      </x:c>
      <x:c r="Q60" s="17" t="n">
        <x:v>3.041598991282611</x:v>
      </x:c>
      <x:c r="R60" s="11" t="n">
        <x:f>Q60/P60</x:f>
        <x:v>1.0033905625144168</x:v>
      </x:c>
      <x:c r="S60" s="16" t="n">
        <x:f>COUNTIFS($R$8:$R$437,"&gt;"&amp;R60)+COUNTIFS($R$8:R60,R60)</x:f>
        <x:v>298</x:v>
      </x:c>
      <x:c r="T60" s="16" t="n">
        <x:f>IF(S60&lt;='Wyniki'!$B$6,1,0)</x:f>
        <x:v>0</x:v>
      </x:c>
    </x:row>
    <x:row r="61" ht="22" customHeight="1">
      <x:c r="A61" s="18" t="n">
        <x:v>54</x:v>
      </x:c>
      <x:c r="B61" s="17" t="n">
        <x:v>-0.5225121302008198</x:v>
      </x:c>
      <x:c r="C61" s="17" t="n">
        <x:v>-0.18646819174530938</x:v>
      </x:c>
      <x:c r="D61" s="18" t="n">
        <x:v>0</x:v>
      </x:c>
      <x:c r="E61" s="17" t="n">
        <x:v>0.11561361015143584</x:v>
      </x:c>
      <x:c r="F61" s="18" t="n">
        <x:v>10</x:v>
      </x:c>
      <x:c r="G61" s="17" t="n">
        <x:v>0.13723674205321482</x:v>
      </x:c>
      <x:c r="H61" s="11" t="n">
        <x:f>1/G61</x:f>
        <x:v>7.286678370812976</x:v>
      </x:c>
      <x:c r="I61" s="17" t="n">
        <x:v>7.209672437454645</x:v>
      </x:c>
      <x:c r="J61" s="11" t="n">
        <x:f>I61/H61</x:f>
        <x:v>0.9894319565871357</x:v>
      </x:c>
      <x:c r="K61" s="16" t="n">
        <x:f>COUNTIFS($J$8:$J$437,"&gt;"&amp;J61)+COUNTIFS($J$8:J61,J61)</x:f>
        <x:v>350</x:v>
      </x:c>
      <x:c r="L61" s="16" t="n">
        <x:f>IF(K61&lt;='Wyniki'!$B$6,1,0)</x:f>
        <x:v>0</x:v>
      </x:c>
      <x:c r="M61" s="17" t="n">
        <x:v>0.3367971426523608</x:v>
      </x:c>
      <x:c r="N61" s="18" t="n">
        <x:v>40</x:v>
      </x:c>
      <x:c r="O61" s="17" t="n">
        <x:v>0.33888306056662526</x:v>
      </x:c>
      <x:c r="P61" s="11" t="n">
        <x:f>1/O61</x:f>
        <x:v>2.950870422168527</x:v>
      </x:c>
      <x:c r="Q61" s="17" t="n">
        <x:v>2.9537433901321544</x:v>
      </x:c>
      <x:c r="R61" s="11" t="n">
        <x:f>Q61/P61</x:f>
        <x:v>1.000973600176424</x:v>
      </x:c>
      <x:c r="S61" s="16" t="n">
        <x:f>COUNTIFS($R$8:$R$437,"&gt;"&amp;R61)+COUNTIFS($R$8:R61,R61)</x:f>
        <x:v>310</x:v>
      </x:c>
      <x:c r="T61" s="16" t="n">
        <x:f>IF(S61&lt;='Wyniki'!$B$6,1,0)</x:f>
        <x:v>0</x:v>
      </x:c>
    </x:row>
    <x:row r="62" ht="22" customHeight="1">
      <x:c r="A62" s="18" t="n">
        <x:v>55</x:v>
      </x:c>
      <x:c r="B62" s="17" t="n">
        <x:v>0.46216947560156757</x:v>
      </x:c>
      <x:c r="C62" s="17" t="n">
        <x:v>-0.9500262327557919</x:v>
      </x:c>
      <x:c r="D62" s="18" t="n">
        <x:v>0</x:v>
      </x:c>
      <x:c r="E62" s="17" t="n">
        <x:v>0.37814965288752495</x:v>
      </x:c>
      <x:c r="F62" s="18" t="n">
        <x:v>10</x:v>
      </x:c>
      <x:c r="G62" s="17" t="n">
        <x:v>0.36387144360887846</x:v>
      </x:c>
      <x:c r="H62" s="11" t="n">
        <x:f>1/G62</x:f>
        <x:v>2.7482233562546043</x:v>
      </x:c>
      <x:c r="I62" s="17" t="n">
        <x:v>3.3258298810797227</x:v>
      </x:c>
      <x:c r="J62" s="11" t="n">
        <x:f>I62/H62</x:f>
        <x:v>1.2101745200260232</x:v>
      </x:c>
      <x:c r="K62" s="16" t="n">
        <x:f>COUNTIFS($J$8:$J$437,"&gt;"&amp;J62)+COUNTIFS($J$8:J62,J62)</x:f>
        <x:v>63</x:v>
      </x:c>
      <x:c r="L62" s="16" t="n">
        <x:f>IF(K62&lt;='Wyniki'!$B$6,1,0)</x:f>
        <x:v>0</x:v>
      </x:c>
      <x:c r="M62" s="17" t="n">
        <x:v>0.6191699525622294</x:v>
      </x:c>
      <x:c r="N62" s="18" t="n">
        <x:v>40</x:v>
      </x:c>
      <x:c r="O62" s="17" t="n">
        <x:v>0.5711189874322976</x:v>
      </x:c>
      <x:c r="P62" s="11" t="n">
        <x:f>1/O62</x:f>
        <x:v>1.7509486149215856</x:v>
      </x:c>
      <x:c r="Q62" s="17" t="n">
        <x:v>2.3809000427857057</x:v>
      </x:c>
      <x:c r="R62" s="11" t="n">
        <x:f>Q62/P62</x:f>
        <x:v>1.3597772216132864</x:v>
      </x:c>
      <x:c r="S62" s="16" t="n">
        <x:f>COUNTIFS($R$8:$R$437,"&gt;"&amp;R62)+COUNTIFS($R$8:R62,R62)</x:f>
        <x:v>69</x:v>
      </x:c>
      <x:c r="T62" s="16" t="n">
        <x:f>IF(S62&lt;='Wyniki'!$B$6,1,0)</x:f>
        <x:v>0</x:v>
      </x:c>
    </x:row>
    <x:row r="63" ht="22" customHeight="1">
      <x:c r="A63" s="18" t="n">
        <x:v>56</x:v>
      </x:c>
      <x:c r="B63" s="17" t="n">
        <x:v>0.23893300395022155</x:v>
      </x:c>
      <x:c r="C63" s="17" t="n">
        <x:v>0.13075458128275286</x:v>
      </x:c>
      <x:c r="D63" s="18" t="n">
        <x:v>0</x:v>
      </x:c>
      <x:c r="E63" s="17" t="n">
        <x:v>0.1385576720268225</x:v>
      </x:c>
      <x:c r="F63" s="18" t="n">
        <x:v>10</x:v>
      </x:c>
      <x:c r="G63" s="17" t="n">
        <x:v>0.13010012284998765</x:v>
      </x:c>
      <x:c r="H63" s="11" t="n">
        <x:f>1/G63</x:f>
        <x:v>7.6863878226545035</x:v>
      </x:c>
      <x:c r="I63" s="17" t="n">
        <x:v>7.715119254696061</x:v>
      </x:c>
      <x:c r="J63" s="11" t="n">
        <x:f>I63/H63</x:f>
        <x:v>1.0037379628382628</x:v>
      </x:c>
      <x:c r="K63" s="16" t="n">
        <x:f>COUNTIFS($J$8:$J$437,"&gt;"&amp;J63)+COUNTIFS($J$8:J63,J63)</x:f>
        <x:v>290</x:v>
      </x:c>
      <x:c r="L63" s="16" t="n">
        <x:f>IF(K63&lt;='Wyniki'!$B$6,1,0)</x:f>
        <x:v>0</x:v>
      </x:c>
      <x:c r="M63" s="17" t="n">
        <x:v>0.247098547660855</x:v>
      </x:c>
      <x:c r="N63" s="18" t="n">
        <x:v>40</x:v>
      </x:c>
      <x:c r="O63" s="17" t="n">
        <x:v>0.25946679462402306</x:v>
      </x:c>
      <x:c r="P63" s="11" t="n">
        <x:f>1/O63</x:f>
        <x:v>3.8540577088063883</x:v>
      </x:c>
      <x:c r="Q63" s="17" t="n">
        <x:v>3.734445224647074</x:v>
      </x:c>
      <x:c r="R63" s="11" t="n">
        <x:f>Q63/P63</x:f>
        <x:v>0.9689645321381659</x:v>
      </x:c>
      <x:c r="S63" s="16" t="n">
        <x:f>COUNTIFS($R$8:$R$437,"&gt;"&amp;R63)+COUNTIFS($R$8:R63,R63)</x:f>
        <x:v>427</x:v>
      </x:c>
      <x:c r="T63" s="16" t="n">
        <x:f>IF(S63&lt;='Wyniki'!$B$6,1,0)</x:f>
        <x:v>0</x:v>
      </x:c>
    </x:row>
    <x:row r="64" ht="22" customHeight="1">
      <x:c r="A64" s="18" t="n">
        <x:v>57</x:v>
      </x:c>
      <x:c r="B64" s="17" t="n">
        <x:v>-0.3267824756332369</x:v>
      </x:c>
      <x:c r="C64" s="17" t="n">
        <x:v>-0.7953318199136501</x:v>
      </x:c>
      <x:c r="D64" s="18" t="n">
        <x:v>0</x:v>
      </x:c>
      <x:c r="E64" s="17" t="n">
        <x:v>0.18544153485607698</x:v>
      </x:c>
      <x:c r="F64" s="18" t="n">
        <x:v>10</x:v>
      </x:c>
      <x:c r="G64" s="17" t="n">
        <x:v>0.1796814967077515</x:v>
      </x:c>
      <x:c r="H64" s="11" t="n">
        <x:f>1/G64</x:f>
        <x:v>5.565403329350494</x:v>
      </x:c>
      <x:c r="I64" s="17" t="n">
        <x:v>5.7207270018498075</x:v>
      </x:c>
      <x:c r="J64" s="11" t="n">
        <x:f>I64/H64</x:f>
        <x:v>1.0279087899488213</x:v>
      </x:c>
      <x:c r="K64" s="16" t="n">
        <x:f>COUNTIFS($J$8:$J$437,"&gt;"&amp;J64)+COUNTIFS($J$8:J64,J64)</x:f>
        <x:v>224</x:v>
      </x:c>
      <x:c r="L64" s="16" t="n">
        <x:f>IF(K64&lt;='Wyniki'!$B$6,1,0)</x:f>
        <x:v>0</x:v>
      </x:c>
      <x:c r="M64" s="17" t="n">
        <x:v>0.43122328643443075</x:v>
      </x:c>
      <x:c r="N64" s="18" t="n">
        <x:v>40</x:v>
      </x:c>
      <x:c r="O64" s="17" t="n">
        <x:v>0.39799637086883166</x:v>
      </x:c>
      <x:c r="P64" s="11" t="n">
        <x:f>1/O64</x:f>
        <x:v>2.51258572488233</x:v>
      </x:c>
      <x:c r="Q64" s="17" t="n">
        <x:v>2.6564809183385862</x:v>
      </x:c>
      <x:c r="R64" s="11" t="n">
        <x:f>Q64/P64</x:f>
        <x:v>1.0572697647810585</x:v>
      </x:c>
      <x:c r="S64" s="16" t="n">
        <x:f>COUNTIFS($R$8:$R$437,"&gt;"&amp;R64)+COUNTIFS($R$8:R64,R64)</x:f>
        <x:v>189</x:v>
      </x:c>
      <x:c r="T64" s="16" t="n">
        <x:f>IF(S64&lt;='Wyniki'!$B$6,1,0)</x:f>
        <x:v>0</x:v>
      </x:c>
    </x:row>
    <x:row r="65" ht="22" customHeight="1">
      <x:c r="A65" s="18" t="n">
        <x:v>58</x:v>
      </x:c>
      <x:c r="B65" s="17" t="n">
        <x:v>0.03967122924262824</x:v>
      </x:c>
      <x:c r="C65" s="17" t="n">
        <x:v>-0.2912209899850913</x:v>
      </x:c>
      <x:c r="D65" s="18" t="n">
        <x:v>0</x:v>
      </x:c>
      <x:c r="E65" s="17" t="n">
        <x:v>0.14442532936961186</x:v>
      </x:c>
      <x:c r="F65" s="18" t="n">
        <x:v>10</x:v>
      </x:c>
      <x:c r="G65" s="17" t="n">
        <x:v>0.13586042448211483</x:v>
      </x:c>
      <x:c r="H65" s="11" t="n">
        <x:f>1/G65</x:f>
        <x:v>7.36049518328749</x:v>
      </x:c>
      <x:c r="I65" s="17" t="n">
        <x:v>7.204053329058415</x:v>
      </x:c>
      <x:c r="J65" s="11" t="n">
        <x:f>I65/H65</x:f>
        <x:v>0.9787457432776687</x:v>
      </x:c>
      <x:c r="K65" s="16" t="n">
        <x:f>COUNTIFS($J$8:$J$437,"&gt;"&amp;J65)+COUNTIFS($J$8:J65,J65)</x:f>
        <x:v>382</x:v>
      </x:c>
      <x:c r="L65" s="16" t="n">
        <x:f>IF(K65&lt;='Wyniki'!$B$6,1,0)</x:f>
        <x:v>0</x:v>
      </x:c>
      <x:c r="M65" s="17" t="n">
        <x:v>0.27429332900211156</x:v>
      </x:c>
      <x:c r="N65" s="18" t="n">
        <x:v>40</x:v>
      </x:c>
      <x:c r="O65" s="17" t="n">
        <x:v>0.28101609781608883</x:v>
      </x:c>
      <x:c r="P65" s="11" t="n">
        <x:f>1/O65</x:f>
        <x:v>3.558515002419721</x:v>
      </x:c>
      <x:c r="Q65" s="17" t="n">
        <x:v>3.5071857705324994</x:v>
      </x:c>
      <x:c r="R65" s="11" t="n">
        <x:f>Q65/P65</x:f>
        <x:v>0.9855756595511558</x:v>
      </x:c>
      <x:c r="S65" s="16" t="n">
        <x:f>COUNTIFS($R$8:$R$437,"&gt;"&amp;R65)+COUNTIFS($R$8:R65,R65)</x:f>
        <x:v>364</x:v>
      </x:c>
      <x:c r="T65" s="16" t="n">
        <x:f>IF(S65&lt;='Wyniki'!$B$6,1,0)</x:f>
        <x:v>0</x:v>
      </x:c>
    </x:row>
    <x:row r="66" ht="22" customHeight="1">
      <x:c r="A66" s="18" t="n">
        <x:v>59</x:v>
      </x:c>
      <x:c r="B66" s="17" t="n">
        <x:v>0.1279719162450872</x:v>
      </x:c>
      <x:c r="C66" s="17" t="n">
        <x:v>0.012018680037893584</x:v>
      </x:c>
      <x:c r="D66" s="18" t="n">
        <x:v>0</x:v>
      </x:c>
      <x:c r="E66" s="17" t="n">
        <x:v>0.13435236488619828</x:v>
      </x:c>
      <x:c r="F66" s="18" t="n">
        <x:v>10</x:v>
      </x:c>
      <x:c r="G66" s="17" t="n">
        <x:v>0.13117989602759067</x:v>
      </x:c>
      <x:c r="H66" s="11" t="n">
        <x:f>1/G66</x:f>
        <x:v>7.623119321497808</x:v>
      </x:c>
      <x:c r="I66" s="17" t="n">
        <x:v>7.688911902246079</x:v>
      </x:c>
      <x:c r="J66" s="11" t="n">
        <x:f>I66/H66</x:f>
        <x:v>1.0086306639019451</x:v>
      </x:c>
      <x:c r="K66" s="16" t="n">
        <x:f>COUNTIFS($J$8:$J$437,"&gt;"&amp;J66)+COUNTIFS($J$8:J66,J66)</x:f>
        <x:v>275</x:v>
      </x:c>
      <x:c r="L66" s="16" t="n">
        <x:f>IF(K66&lt;='Wyniki'!$B$6,1,0)</x:f>
        <x:v>0</x:v>
      </x:c>
      <x:c r="M66" s="17" t="n">
        <x:v>0.2523125051320926</x:v>
      </x:c>
      <x:c r="N66" s="18" t="n">
        <x:v>40</x:v>
      </x:c>
      <x:c r="O66" s="17" t="n">
        <x:v>0.25642400252665976</x:v>
      </x:c>
      <x:c r="P66" s="11" t="n">
        <x:f>1/O66</x:f>
        <x:v>3.8997909327775684</x:v>
      </x:c>
      <x:c r="Q66" s="17" t="n">
        <x:v>3.786076371105344</x:v>
      </x:c>
      <x:c r="R66" s="11" t="n">
        <x:f>Q66/P66</x:f>
        <x:v>0.9708408569504434</x:v>
      </x:c>
      <x:c r="S66" s="16" t="n">
        <x:f>COUNTIFS($R$8:$R$437,"&gt;"&amp;R66)+COUNTIFS($R$8:R66,R66)</x:f>
        <x:v>423</x:v>
      </x:c>
      <x:c r="T66" s="16" t="n">
        <x:f>IF(S66&lt;='Wyniki'!$B$6,1,0)</x:f>
        <x:v>0</x:v>
      </x:c>
    </x:row>
    <x:row r="67" ht="22" customHeight="1">
      <x:c r="A67" s="18" t="n">
        <x:v>60</x:v>
      </x:c>
      <x:c r="B67" s="17" t="n">
        <x:v>0.8809783902265036</x:v>
      </x:c>
      <x:c r="C67" s="17" t="n">
        <x:v>-0.13164559511016335</x:v>
      </x:c>
      <x:c r="D67" s="18" t="n">
        <x:v>0</x:v>
      </x:c>
      <x:c r="E67" s="17" t="n">
        <x:v>0.24722073218271384</x:v>
      </x:c>
      <x:c r="F67" s="18" t="n">
        <x:v>10</x:v>
      </x:c>
      <x:c r="G67" s="17" t="n">
        <x:v>0.24944588603020357</x:v>
      </x:c>
      <x:c r="H67" s="11" t="n">
        <x:f>1/G67</x:f>
        <x:v>4.008885517875076</x:v>
      </x:c>
      <x:c r="I67" s="17" t="n">
        <x:v>4.290823942038347</x:v>
      </x:c>
      <x:c r="J67" s="11" t="n">
        <x:f>I67/H67</x:f>
        <x:v>1.0703283800213665</x:v>
      </x:c>
      <x:c r="K67" s="16" t="n">
        <x:f>COUNTIFS($J$8:$J$437,"&gt;"&amp;J67)+COUNTIFS($J$8:J67,J67)</x:f>
        <x:v>148</x:v>
      </x:c>
      <x:c r="L67" s="16" t="n">
        <x:f>IF(K67&lt;='Wyniki'!$B$6,1,0)</x:f>
        <x:v>0</x:v>
      </x:c>
      <x:c r="M67" s="17" t="n">
        <x:v>0.4848537696614151</x:v>
      </x:c>
      <x:c r="N67" s="18" t="n">
        <x:v>40</x:v>
      </x:c>
      <x:c r="O67" s="17" t="n">
        <x:v>0.46345717734460035</x:v>
      </x:c>
      <x:c r="P67" s="11" t="n">
        <x:f>1/O67</x:f>
        <x:v>2.157696652211855</x:v>
      </x:c>
      <x:c r="Q67" s="17" t="n">
        <x:v>2.5988919237959345</x:v>
      </x:c>
      <x:c r="R67" s="11" t="n">
        <x:f>Q67/P67</x:f>
        <x:v>1.204475115226142</x:v>
      </x:c>
      <x:c r="S67" s="16" t="n">
        <x:f>COUNTIFS($R$8:$R$437,"&gt;"&amp;R67)+COUNTIFS($R$8:R67,R67)</x:f>
        <x:v>112</x:v>
      </x:c>
      <x:c r="T67" s="16" t="n">
        <x:f>IF(S67&lt;='Wyniki'!$B$6,1,0)</x:f>
        <x:v>0</x:v>
      </x:c>
    </x:row>
    <x:row r="68" ht="22" customHeight="1">
      <x:c r="A68" s="18" t="n">
        <x:v>61</x:v>
      </x:c>
      <x:c r="B68" s="17" t="n">
        <x:v>-0.5629236209420257</x:v>
      </x:c>
      <x:c r="C68" s="17" t="n">
        <x:v>0.09860159922597389</x:v>
      </x:c>
      <x:c r="D68" s="18" t="n">
        <x:v>0</x:v>
      </x:c>
      <x:c r="E68" s="17" t="n">
        <x:v>0.18241136892001994</x:v>
      </x:c>
      <x:c r="F68" s="18" t="n">
        <x:v>10</x:v>
      </x:c>
      <x:c r="G68" s="17" t="n">
        <x:v>0.17380709173292838</x:v>
      </x:c>
      <x:c r="H68" s="11" t="n">
        <x:f>1/G68</x:f>
        <x:v>5.753505165005568</x:v>
      </x:c>
      <x:c r="I68" s="17" t="n">
        <x:v>6.225489627713544</x:v>
      </x:c>
      <x:c r="J68" s="11" t="n">
        <x:f>I68/H68</x:f>
        <x:v>1.0820342468064021</x:v>
      </x:c>
      <x:c r="K68" s="16" t="n">
        <x:f>COUNTIFS($J$8:$J$437,"&gt;"&amp;J68)+COUNTIFS($J$8:J68,J68)</x:f>
        <x:v>138</x:v>
      </x:c>
      <x:c r="L68" s="16" t="n">
        <x:f>IF(K68&lt;='Wyniki'!$B$6,1,0)</x:f>
        <x:v>0</x:v>
      </x:c>
      <x:c r="M68" s="17" t="n">
        <x:v>0.33069949512993624</x:v>
      </x:c>
      <x:c r="N68" s="18" t="n">
        <x:v>40</x:v>
      </x:c>
      <x:c r="O68" s="17" t="n">
        <x:v>0.33839999569597207</x:v>
      </x:c>
      <x:c r="P68" s="11" t="n">
        <x:f>1/O68</x:f>
        <x:v>2.9550827799017694</x:v>
      </x:c>
      <x:c r="Q68" s="17" t="n">
        <x:v>3.0112823978034142</x:v>
      </x:c>
      <x:c r="R68" s="11" t="n">
        <x:f>Q68/P68</x:f>
        <x:v>1.019017950456032</x:v>
      </x:c>
      <x:c r="S68" s="16" t="n">
        <x:f>COUNTIFS($R$8:$R$437,"&gt;"&amp;R68)+COUNTIFS($R$8:R68,R68)</x:f>
        <x:v>243</x:v>
      </x:c>
      <x:c r="T68" s="16" t="n">
        <x:f>IF(S68&lt;='Wyniki'!$B$6,1,0)</x:f>
        <x:v>0</x:v>
      </x:c>
    </x:row>
    <x:row r="69" ht="22" customHeight="1">
      <x:c r="A69" s="18" t="n">
        <x:v>62</x:v>
      </x:c>
      <x:c r="B69" s="17" t="n">
        <x:v>0.12099817618447085</x:v>
      </x:c>
      <x:c r="C69" s="17" t="n">
        <x:v>0.7475531663822401</x:v>
      </x:c>
      <x:c r="D69" s="18" t="n">
        <x:v>0</x:v>
      </x:c>
      <x:c r="E69" s="17" t="n">
        <x:v>0.15037953607221013</x:v>
      </x:c>
      <x:c r="F69" s="18" t="n">
        <x:v>10</x:v>
      </x:c>
      <x:c r="G69" s="17" t="n">
        <x:v>0.16704303669464846</x:v>
      </x:c>
      <x:c r="H69" s="11" t="n">
        <x:f>1/G69</x:f>
        <x:v>5.986481207402744</x:v>
      </x:c>
      <x:c r="I69" s="17" t="n">
        <x:v>5.981100021399074</x:v>
      </x:c>
      <x:c r="J69" s="11" t="n">
        <x:f>I69/H69</x:f>
        <x:v>0.9991011103489282</x:v>
      </x:c>
      <x:c r="K69" s="16" t="n">
        <x:f>COUNTIFS($J$8:$J$437,"&gt;"&amp;J69)+COUNTIFS($J$8:J69,J69)</x:f>
        <x:v>315</x:v>
      </x:c>
      <x:c r="L69" s="16" t="n">
        <x:f>IF(K69&lt;='Wyniki'!$B$6,1,0)</x:f>
        <x:v>0</x:v>
      </x:c>
      <x:c r="M69" s="17" t="n">
        <x:v>0.38379084673124464</x:v>
      </x:c>
      <x:c r="N69" s="18" t="n">
        <x:v>40</x:v>
      </x:c>
      <x:c r="O69" s="17" t="n">
        <x:v>0.39978486767961774</x:v>
      </x:c>
      <x:c r="P69" s="11" t="n">
        <x:f>1/O69</x:f>
        <x:v>2.5013453005464594</x:v>
      </x:c>
      <x:c r="Q69" s="17" t="n">
        <x:v>2.657443562926771</x:v>
      </x:c>
      <x:c r="R69" s="11" t="n">
        <x:f>Q69/P69</x:f>
        <x:v>1.0624057231707311</x:v>
      </x:c>
      <x:c r="S69" s="16" t="n">
        <x:f>COUNTIFS($R$8:$R$437,"&gt;"&amp;R69)+COUNTIFS($R$8:R69,R69)</x:f>
        <x:v>183</x:v>
      </x:c>
      <x:c r="T69" s="16" t="n">
        <x:f>IF(S69&lt;='Wyniki'!$B$6,1,0)</x:f>
        <x:v>0</x:v>
      </x:c>
    </x:row>
    <x:row r="70" ht="22" customHeight="1">
      <x:c r="A70" s="18" t="n">
        <x:v>63</x:v>
      </x:c>
      <x:c r="B70" s="17" t="n">
        <x:v>0.45931118525301823</x:v>
      </x:c>
      <x:c r="C70" s="17" t="n">
        <x:v>0.19627908253223014</x:v>
      </x:c>
      <x:c r="D70" s="18" t="n">
        <x:v>0</x:v>
      </x:c>
      <x:c r="E70" s="17" t="n">
        <x:v>0.11423482282919704</x:v>
      </x:c>
      <x:c r="F70" s="18" t="n">
        <x:v>10</x:v>
      </x:c>
      <x:c r="G70" s="17" t="n">
        <x:v>0.11207038276500995</x:v>
      </x:c>
      <x:c r="H70" s="11" t="n">
        <x:f>1/G70</x:f>
        <x:v>8.92296408139167</x:v>
      </x:c>
      <x:c r="I70" s="17" t="n">
        <x:v>8.510969988952798</x:v>
      </x:c>
      <x:c r="J70" s="11" t="n">
        <x:f>I70/H70</x:f>
        <x:v>0.9538276643634527</x:v>
      </x:c>
      <x:c r="K70" s="16" t="n">
        <x:f>COUNTIFS($J$8:$J$437,"&gt;"&amp;J70)+COUNTIFS($J$8:J70,J70)</x:f>
        <x:v>421</x:v>
      </x:c>
      <x:c r="L70" s="16" t="n">
        <x:f>IF(K70&lt;='Wyniki'!$B$6,1,0)</x:f>
        <x:v>0</x:v>
      </x:c>
      <x:c r="M70" s="17" t="n">
        <x:v>0.26727767281012005</x:v>
      </x:c>
      <x:c r="N70" s="18" t="n">
        <x:v>40</x:v>
      </x:c>
      <x:c r="O70" s="17" t="n">
        <x:v>0.2817488520913218</x:v>
      </x:c>
      <x:c r="P70" s="11" t="n">
        <x:f>1/O70</x:f>
        <x:v>3.5492602457023508</x:v>
      </x:c>
      <x:c r="Q70" s="17" t="n">
        <x:v>3.4754360095610144</x:v>
      </x:c>
      <x:c r="R70" s="11" t="n">
        <x:f>Q70/P70</x:f>
        <x:v>0.9792001062106598</x:v>
      </x:c>
      <x:c r="S70" s="16" t="n">
        <x:f>COUNTIFS($R$8:$R$437,"&gt;"&amp;R70)+COUNTIFS($R$8:R70,R70)</x:f>
        <x:v>392</x:v>
      </x:c>
      <x:c r="T70" s="16" t="n">
        <x:f>IF(S70&lt;='Wyniki'!$B$6,1,0)</x:f>
        <x:v>0</x:v>
      </x:c>
    </x:row>
    <x:row r="71" ht="22" customHeight="1">
      <x:c r="A71" s="18" t="n">
        <x:v>64</x:v>
      </x:c>
      <x:c r="B71" s="17" t="n">
        <x:v>0.804816590170759</x:v>
      </x:c>
      <x:c r="C71" s="17" t="n">
        <x:v>-0.6538196798775681</x:v>
      </x:c>
      <x:c r="D71" s="18" t="n">
        <x:v>0</x:v>
      </x:c>
      <x:c r="E71" s="17" t="n">
        <x:v>0.31044032038688224</x:v>
      </x:c>
      <x:c r="F71" s="18" t="n">
        <x:v>10</x:v>
      </x:c>
      <x:c r="G71" s="17" t="n">
        <x:v>0.3154533550474409</x:v>
      </x:c>
      <x:c r="H71" s="11" t="n">
        <x:f>1/G71</x:f>
        <x:v>3.1700407809883986</x:v>
      </x:c>
      <x:c r="I71" s="17" t="n">
        <x:v>3.3241717451694255</x:v>
      </x:c>
      <x:c r="J71" s="11" t="n">
        <x:f>I71/H71</x:f>
        <x:v>1.0486211297676018</x:v>
      </x:c>
      <x:c r="K71" s="16" t="n">
        <x:f>COUNTIFS($J$8:$J$437,"&gt;"&amp;J71)+COUNTIFS($J$8:J71,J71)</x:f>
        <x:v>181</x:v>
      </x:c>
      <x:c r="L71" s="16" t="n">
        <x:f>IF(K71&lt;='Wyniki'!$B$6,1,0)</x:f>
        <x:v>0</x:v>
      </x:c>
      <x:c r="M71" s="17" t="n">
        <x:v>0.6151374031762001</x:v>
      </x:c>
      <x:c r="N71" s="18" t="n">
        <x:v>40</x:v>
      </x:c>
      <x:c r="O71" s="17" t="n">
        <x:v>0.5771805287872815</x:v>
      </x:c>
      <x:c r="P71" s="11" t="n">
        <x:f>1/O71</x:f>
        <x:v>1.7325601785304638</x:v>
      </x:c>
      <x:c r="Q71" s="17" t="n">
        <x:v>2.3329625465513937</x:v>
      </x:c>
      <x:c r="R71" s="11" t="n">
        <x:f>Q71/P71</x:f>
        <x:v>1.3465405562594563</x:v>
      </x:c>
      <x:c r="S71" s="16" t="n">
        <x:f>COUNTIFS($R$8:$R$437,"&gt;"&amp;R71)+COUNTIFS($R$8:R71,R71)</x:f>
        <x:v>73</x:v>
      </x:c>
      <x:c r="T71" s="16" t="n">
        <x:f>IF(S71&lt;='Wyniki'!$B$6,1,0)</x:f>
        <x:v>0</x:v>
      </x:c>
    </x:row>
    <x:row r="72" ht="22" customHeight="1">
      <x:c r="A72" s="18" t="n">
        <x:v>65</x:v>
      </x:c>
      <x:c r="B72" s="17" t="n">
        <x:v>-0.3518633430123613</x:v>
      </x:c>
      <x:c r="C72" s="17" t="n">
        <x:v>-0.5096167677730388</x:v>
      </x:c>
      <x:c r="D72" s="18" t="n">
        <x:v>0</x:v>
      </x:c>
      <x:c r="E72" s="17" t="n">
        <x:v>0.1576861547796079</x:v>
      </x:c>
      <x:c r="F72" s="18" t="n">
        <x:v>10</x:v>
      </x:c>
      <x:c r="G72" s="17" t="n">
        <x:v>0.16202871906142075</x:v>
      </x:c>
      <x:c r="H72" s="11" t="n">
        <x:f>1/G72</x:f>
        <x:v>6.171745390525039</x:v>
      </x:c>
      <x:c r="I72" s="17" t="n">
        <x:v>6.209075900449557</x:v>
      </x:c>
      <x:c r="J72" s="11" t="n">
        <x:f>I72/H72</x:f>
        <x:v>1.0060486147049794</x:v>
      </x:c>
      <x:c r="K72" s="16" t="n">
        <x:f>COUNTIFS($J$8:$J$437,"&gt;"&amp;J72)+COUNTIFS($J$8:J72,J72)</x:f>
        <x:v>283</x:v>
      </x:c>
      <x:c r="L72" s="16" t="n">
        <x:f>IF(K72&lt;='Wyniki'!$B$6,1,0)</x:f>
        <x:v>0</x:v>
      </x:c>
      <x:c r="M72" s="17" t="n">
        <x:v>0.3197809770146321</x:v>
      </x:c>
      <x:c r="N72" s="18" t="n">
        <x:v>40</x:v>
      </x:c>
      <x:c r="O72" s="17" t="n">
        <x:v>0.34870537501816123</x:v>
      </x:c>
      <x:c r="P72" s="11" t="n">
        <x:f>1/O72</x:f>
        <x:v>2.8677504611103806</x:v>
      </x:c>
      <x:c r="Q72" s="17" t="n">
        <x:v>2.879108196356348</x:v>
      </x:c>
      <x:c r="R72" s="11" t="n">
        <x:f>Q72/P72</x:f>
        <x:v>1.0039605033283021</x:v>
      </x:c>
      <x:c r="S72" s="16" t="n">
        <x:f>COUNTIFS($R$8:$R$437,"&gt;"&amp;R72)+COUNTIFS($R$8:R72,R72)</x:f>
        <x:v>295</x:v>
      </x:c>
      <x:c r="T72" s="16" t="n">
        <x:f>IF(S72&lt;='Wyniki'!$B$6,1,0)</x:f>
        <x:v>0</x:v>
      </x:c>
    </x:row>
    <x:row r="73" ht="22" customHeight="1">
      <x:c r="A73" s="18" t="n">
        <x:v>66</x:v>
      </x:c>
      <x:c r="B73" s="17" t="n">
        <x:v>-0.2143953917356724</x:v>
      </x:c>
      <x:c r="C73" s="17" t="n">
        <x:v>-0.7571773811559699</x:v>
      </x:c>
      <x:c r="D73" s="18" t="n">
        <x:v>0</x:v>
      </x:c>
      <x:c r="E73" s="17" t="n">
        <x:v>0.1818166323864302</x:v>
      </x:c>
      <x:c r="F73" s="18" t="n">
        <x:v>10</x:v>
      </x:c>
      <x:c r="G73" s="17" t="n">
        <x:v>0.17943612363541397</x:v>
      </x:c>
      <x:c r="H73" s="11" t="n">
        <x:f>1/G73</x:f>
        <x:v>5.573013837680995</x:v>
      </x:c>
      <x:c r="I73" s="17" t="n">
        <x:v>5.933259217219993</x:v>
      </x:c>
      <x:c r="J73" s="11" t="n">
        <x:f>I73/H73</x:f>
        <x:v>1.0646410344620463</x:v>
      </x:c>
      <x:c r="K73" s="16" t="n">
        <x:f>COUNTIFS($J$8:$J$437,"&gt;"&amp;J73)+COUNTIFS($J$8:J73,J73)</x:f>
        <x:v>157</x:v>
      </x:c>
      <x:c r="L73" s="16" t="n">
        <x:f>IF(K73&lt;='Wyniki'!$B$6,1,0)</x:f>
        <x:v>0</x:v>
      </x:c>
      <x:c r="M73" s="17" t="n">
        <x:v>0.39614503302968007</x:v>
      </x:c>
      <x:c r="N73" s="18" t="n">
        <x:v>40</x:v>
      </x:c>
      <x:c r="O73" s="17" t="n">
        <x:v>0.3845671773771188</x:v>
      </x:c>
      <x:c r="P73" s="11" t="n">
        <x:f>1/O73</x:f>
        <x:v>2.600325921781328</x:v>
      </x:c>
      <x:c r="Q73" s="17" t="n">
        <x:v>2.73726220072014</x:v>
      </x:c>
      <x:c r="R73" s="11" t="n">
        <x:f>Q73/P73</x:f>
        <x:v>1.0526611982720246</x:v>
      </x:c>
      <x:c r="S73" s="16" t="n">
        <x:f>COUNTIFS($R$8:$R$437,"&gt;"&amp;R73)+COUNTIFS($R$8:R73,R73)</x:f>
        <x:v>194</x:v>
      </x:c>
      <x:c r="T73" s="16" t="n">
        <x:f>IF(S73&lt;='Wyniki'!$B$6,1,0)</x:f>
        <x:v>0</x:v>
      </x:c>
    </x:row>
    <x:row r="74" ht="22" customHeight="1">
      <x:c r="A74" s="18" t="n">
        <x:v>67</x:v>
      </x:c>
      <x:c r="B74" s="17" t="n">
        <x:v>0.3493330207479224</x:v>
      </x:c>
      <x:c r="C74" s="17" t="n">
        <x:v>-0.12222248340432537</x:v>
      </x:c>
      <x:c r="D74" s="18" t="n">
        <x:v>0</x:v>
      </x:c>
      <x:c r="E74" s="17" t="n">
        <x:v>0.13869755570015657</x:v>
      </x:c>
      <x:c r="F74" s="18" t="n">
        <x:v>10</x:v>
      </x:c>
      <x:c r="G74" s="17" t="n">
        <x:v>0.13231209341356026</x:v>
      </x:c>
      <x:c r="H74" s="11" t="n">
        <x:f>1/G74</x:f>
        <x:v>7.557888127991126</x:v>
      </x:c>
      <x:c r="I74" s="17" t="n">
        <x:v>7.389378993208737</x:v>
      </x:c>
      <x:c r="J74" s="11" t="n">
        <x:f>I74/H74</x:f>
        <x:v>0.9777042036176343</x:v>
      </x:c>
      <x:c r="K74" s="16" t="n">
        <x:f>COUNTIFS($J$8:$J$437,"&gt;"&amp;J74)+COUNTIFS($J$8:J74,J74)</x:f>
        <x:v>387</x:v>
      </x:c>
      <x:c r="L74" s="16" t="n">
        <x:f>IF(K74&lt;='Wyniki'!$B$6,1,0)</x:f>
        <x:v>0</x:v>
      </x:c>
      <x:c r="M74" s="17" t="n">
        <x:v>0.28377214070484</x:v>
      </x:c>
      <x:c r="N74" s="18" t="n">
        <x:v>40</x:v>
      </x:c>
      <x:c r="O74" s="17" t="n">
        <x:v>0.2878611112886357</x:v>
      </x:c>
      <x:c r="P74" s="11" t="n">
        <x:f>1/O74</x:f>
        <x:v>3.473897517880799</x:v>
      </x:c>
      <x:c r="Q74" s="17" t="n">
        <x:v>3.4761240366097836</x:v>
      </x:c>
      <x:c r="R74" s="11" t="n">
        <x:f>Q74/P74</x:f>
        <x:v>1.0006409281556303</x:v>
      </x:c>
      <x:c r="S74" s="16" t="n">
        <x:f>COUNTIFS($R$8:$R$437,"&gt;"&amp;R74)+COUNTIFS($R$8:R74,R74)</x:f>
        <x:v>312</x:v>
      </x:c>
      <x:c r="T74" s="16" t="n">
        <x:f>IF(S74&lt;='Wyniki'!$B$6,1,0)</x:f>
        <x:v>0</x:v>
      </x:c>
    </x:row>
    <x:row r="75" ht="22" customHeight="1">
      <x:c r="A75" s="18" t="n">
        <x:v>68</x:v>
      </x:c>
      <x:c r="B75" s="17" t="n">
        <x:v>-0.8089434619764619</x:v>
      </x:c>
      <x:c r="C75" s="17" t="n">
        <x:v>-0.5585684946641479</x:v>
      </x:c>
      <x:c r="D75" s="18" t="n">
        <x:v>0</x:v>
      </x:c>
      <x:c r="E75" s="17" t="n">
        <x:v>0.23371473673056534</x:v>
      </x:c>
      <x:c r="F75" s="18" t="n">
        <x:v>10</x:v>
      </x:c>
      <x:c r="G75" s="17" t="n">
        <x:v>0.23163417718777174</x:v>
      </x:c>
      <x:c r="H75" s="11" t="n">
        <x:f>1/G75</x:f>
        <x:v>4.3171522101825275</x:v>
      </x:c>
      <x:c r="I75" s="17" t="n">
        <x:v>4.447441543914428</x:v>
      </x:c>
      <x:c r="J75" s="11" t="n">
        <x:f>I75/H75</x:f>
        <x:v>1.0301794626153318</x:v>
      </x:c>
      <x:c r="K75" s="16" t="n">
        <x:f>COUNTIFS($J$8:$J$437,"&gt;"&amp;J75)+COUNTIFS($J$8:J75,J75)</x:f>
        <x:v>216</x:v>
      </x:c>
      <x:c r="L75" s="16" t="n">
        <x:f>IF(K75&lt;='Wyniki'!$B$6,1,0)</x:f>
        <x:v>0</x:v>
      </x:c>
      <x:c r="M75" s="17" t="n">
        <x:v>0.46957591852123276</x:v>
      </x:c>
      <x:c r="N75" s="18" t="n">
        <x:v>40</x:v>
      </x:c>
      <x:c r="O75" s="17" t="n">
        <x:v>0.4550506616460351</x:v>
      </x:c>
      <x:c r="P75" s="11" t="n">
        <x:f>1/O75</x:f>
        <x:v>2.1975575123498188</x:v>
      </x:c>
      <x:c r="Q75" s="17" t="n">
        <x:v>2.418053692068992</x:v>
      </x:c>
      <x:c r="R75" s="11" t="n">
        <x:f>Q75/P75</x:f>
        <x:v>1.1003369324716328</x:v>
      </x:c>
      <x:c r="S75" s="16" t="n">
        <x:f>COUNTIFS($R$8:$R$437,"&gt;"&amp;R75)+COUNTIFS($R$8:R75,R75)</x:f>
        <x:v>156</x:v>
      </x:c>
      <x:c r="T75" s="16" t="n">
        <x:f>IF(S75&lt;='Wyniki'!$B$6,1,0)</x:f>
        <x:v>0</x:v>
      </x:c>
    </x:row>
    <x:row r="76" ht="22" customHeight="1">
      <x:c r="A76" s="18" t="n">
        <x:v>69</x:v>
      </x:c>
      <x:c r="B76" s="17" t="n">
        <x:v>0.17243261609760743</x:v>
      </x:c>
      <x:c r="C76" s="17" t="n">
        <x:v>0.46096961234190964</x:v>
      </x:c>
      <x:c r="D76" s="18" t="n">
        <x:v>0</x:v>
      </x:c>
      <x:c r="E76" s="17" t="n">
        <x:v>0.16146463624581764</x:v>
      </x:c>
      <x:c r="F76" s="18" t="n">
        <x:v>10</x:v>
      </x:c>
      <x:c r="G76" s="17" t="n">
        <x:v>0.1567579359381603</x:v>
      </x:c>
      <x:c r="H76" s="11" t="n">
        <x:f>1/G76</x:f>
        <x:v>6.3792623576932765</x:v>
      </x:c>
      <x:c r="I76" s="17" t="n">
        <x:v>6.4627232146055436</x:v>
      </x:c>
      <x:c r="J76" s="11" t="n">
        <x:f>I76/H76</x:f>
        <x:v>1.0130831516611971</x:v>
      </x:c>
      <x:c r="K76" s="16" t="n">
        <x:f>COUNTIFS($J$8:$J$437,"&gt;"&amp;J76)+COUNTIFS($J$8:J76,J76)</x:f>
        <x:v>258</x:v>
      </x:c>
      <x:c r="L76" s="16" t="n">
        <x:f>IF(K76&lt;='Wyniki'!$B$6,1,0)</x:f>
        <x:v>0</x:v>
      </x:c>
      <x:c r="M76" s="17" t="n">
        <x:v>0.3011057590457198</x:v>
      </x:c>
      <x:c r="N76" s="18" t="n">
        <x:v>40</x:v>
      </x:c>
      <x:c r="O76" s="17" t="n">
        <x:v>0.30692947752338673</x:v>
      </x:c>
      <x:c r="P76" s="11" t="n">
        <x:f>1/O76</x:f>
        <x:v>3.2580774191811024</x:v>
      </x:c>
      <x:c r="Q76" s="17" t="n">
        <x:v>3.283462378232552</x:v>
      </x:c>
      <x:c r="R76" s="11" t="n">
        <x:f>Q76/P76</x:f>
        <x:v>1.007791392218614</x:v>
      </x:c>
      <x:c r="S76" s="16" t="n">
        <x:f>COUNTIFS($R$8:$R$437,"&gt;"&amp;R76)+COUNTIFS($R$8:R76,R76)</x:f>
        <x:v>278</x:v>
      </x:c>
      <x:c r="T76" s="16" t="n">
        <x:f>IF(S76&lt;='Wyniki'!$B$6,1,0)</x:f>
        <x:v>0</x:v>
      </x:c>
    </x:row>
    <x:row r="77" ht="22" customHeight="1">
      <x:c r="A77" s="18" t="n">
        <x:v>70</x:v>
      </x:c>
      <x:c r="B77" s="17" t="n">
        <x:v>1.0982019904304827</x:v>
      </x:c>
      <x:c r="C77" s="17" t="n">
        <x:v>1.6026243563040314</x:v>
      </x:c>
      <x:c r="D77" s="18" t="n">
        <x:v>0</x:v>
      </x:c>
      <x:c r="E77" s="17" t="n">
        <x:v>0.9856490776832781</x:v>
      </x:c>
      <x:c r="F77" s="18" t="n">
        <x:v>10</x:v>
      </x:c>
      <x:c r="G77" s="17" t="n">
        <x:v>0.8615289024072327</x:v>
      </x:c>
      <x:c r="H77" s="11" t="n">
        <x:f>1/G77</x:f>
        <x:v>1.1607271644698856</x:v>
      </x:c>
      <x:c r="I77" s="17" t="n">
        <x:v>2.5240504452242103</x:v>
      </x:c>
      <x:c r="J77" s="11" t="n">
        <x:f>I77/H77</x:f>
        <x:v>2.174542409694501</x:v>
      </x:c>
      <x:c r="K77" s="16" t="n">
        <x:f>COUNTIFS($J$8:$J$437,"&gt;"&amp;J77)+COUNTIFS($J$8:J77,J77)</x:f>
        <x:v>1</x:v>
      </x:c>
      <x:c r="L77" s="16" t="n">
        <x:f>IF(K77&lt;='Wyniki'!$B$6,1,0)</x:f>
        <x:v>1</x:v>
      </x:c>
      <x:c r="M77" s="17" t="n">
        <x:v>1.3258571276676314</x:v>
      </x:c>
      <x:c r="N77" s="18" t="n">
        <x:v>40</x:v>
      </x:c>
      <x:c r="O77" s="17" t="n">
        <x:v>1.1453265432735176</x:v>
      </x:c>
      <x:c r="P77" s="11" t="n">
        <x:f>1/O77</x:f>
        <x:v>0.8731134416407114</x:v>
      </x:c>
      <x:c r="Q77" s="17" t="n">
        <x:v>2.182096483606164</x:v>
      </x:c>
      <x:c r="R77" s="11" t="n">
        <x:f>Q77/P77</x:f>
        <x:v>2.4992130226579454</x:v>
      </x:c>
      <x:c r="S77" s="16" t="n">
        <x:f>COUNTIFS($R$8:$R$437,"&gt;"&amp;R77)+COUNTIFS($R$8:R77,R77)</x:f>
        <x:v>1</x:v>
      </x:c>
      <x:c r="T77" s="16" t="n">
        <x:f>IF(S77&lt;='Wyniki'!$B$6,1,0)</x:f>
        <x:v>1</x:v>
      </x:c>
    </x:row>
    <x:row r="78" ht="22" customHeight="1">
      <x:c r="A78" s="18" t="n">
        <x:v>71</x:v>
      </x:c>
      <x:c r="B78" s="17" t="n">
        <x:v>0.22792518830179803</x:v>
      </x:c>
      <x:c r="C78" s="17" t="n">
        <x:v>-0.5442459660175253</x:v>
      </x:c>
      <x:c r="D78" s="18" t="n">
        <x:v>0</x:v>
      </x:c>
      <x:c r="E78" s="17" t="n">
        <x:v>0.18127854161595458</x:v>
      </x:c>
      <x:c r="F78" s="18" t="n">
        <x:v>10</x:v>
      </x:c>
      <x:c r="G78" s="17" t="n">
        <x:v>0.15439756008703495</x:v>
      </x:c>
      <x:c r="H78" s="11" t="n">
        <x:f>1/G78</x:f>
        <x:v>6.476786287531313</x:v>
      </x:c>
      <x:c r="I78" s="17" t="n">
        <x:v>6.320114794412047</x:v>
      </x:c>
      <x:c r="J78" s="11" t="n">
        <x:f>I78/H78</x:f>
        <x:v>0.9758103037271926</x:v>
      </x:c>
      <x:c r="K78" s="16" t="n">
        <x:f>COUNTIFS($J$8:$J$437,"&gt;"&amp;J78)+COUNTIFS($J$8:J78,J78)</x:f>
        <x:v>393</x:v>
      </x:c>
      <x:c r="L78" s="16" t="n">
        <x:f>IF(K78&lt;='Wyniki'!$B$6,1,0)</x:f>
        <x:v>0</x:v>
      </x:c>
      <x:c r="M78" s="17" t="n">
        <x:v>0.3506000569279918</x:v>
      </x:c>
      <x:c r="N78" s="18" t="n">
        <x:v>40</x:v>
      </x:c>
      <x:c r="O78" s="17" t="n">
        <x:v>0.34184072547390487</x:v>
      </x:c>
      <x:c r="P78" s="11" t="n">
        <x:f>1/O78</x:f>
        <x:v>2.9253389823979212</x:v>
      </x:c>
      <x:c r="Q78" s="17" t="n">
        <x:v>3.07170065181034</x:v>
      </x:c>
      <x:c r="R78" s="11" t="n">
        <x:f>Q78/P78</x:f>
        <x:v>1.050032379253513</x:v>
      </x:c>
      <x:c r="S78" s="16" t="n">
        <x:f>COUNTIFS($R$8:$R$437,"&gt;"&amp;R78)+COUNTIFS($R$8:R78,R78)</x:f>
        <x:v>199</x:v>
      </x:c>
      <x:c r="T78" s="16" t="n">
        <x:f>IF(S78&lt;='Wyniki'!$B$6,1,0)</x:f>
        <x:v>0</x:v>
      </x:c>
    </x:row>
    <x:row r="79" ht="22" customHeight="1">
      <x:c r="A79" s="18" t="n">
        <x:v>72</x:v>
      </x:c>
      <x:c r="B79" s="17" t="n">
        <x:v>-1.17262545440222</x:v>
      </x:c>
      <x:c r="C79" s="17" t="n">
        <x:v>0.1472413042891097</x:v>
      </x:c>
      <x:c r="D79" s="18" t="n">
        <x:v>0</x:v>
      </x:c>
      <x:c r="E79" s="17" t="n">
        <x:v>0.3588121622480775</x:v>
      </x:c>
      <x:c r="F79" s="18" t="n">
        <x:v>10</x:v>
      </x:c>
      <x:c r="G79" s="17" t="n">
        <x:v>0.32188773964288214</x:v>
      </x:c>
      <x:c r="H79" s="11" t="n">
        <x:f>1/G79</x:f>
        <x:v>3.1066731560184566</x:v>
      </x:c>
      <x:c r="I79" s="17" t="n">
        <x:v>3.6740679468418436</x:v>
      </x:c>
      <x:c r="J79" s="11" t="n">
        <x:f>I79/H79</x:f>
        <x:v>1.182637426703286</x:v>
      </x:c>
      <x:c r="K79" s="16" t="n">
        <x:f>COUNTIFS($J$8:$J$437,"&gt;"&amp;J79)+COUNTIFS($J$8:J79,J79)</x:f>
        <x:v>72</x:v>
      </x:c>
      <x:c r="L79" s="16" t="n">
        <x:f>IF(K79&lt;='Wyniki'!$B$6,1,0)</x:f>
        <x:v>0</x:v>
      </x:c>
      <x:c r="M79" s="17" t="n">
        <x:v>0.6851161596464032</x:v>
      </x:c>
      <x:c r="N79" s="18" t="n">
        <x:v>40</x:v>
      </x:c>
      <x:c r="O79" s="17" t="n">
        <x:v>0.5742409887497789</x:v>
      </x:c>
      <x:c r="P79" s="11" t="n">
        <x:f>1/O79</x:f>
        <x:v>1.7414291553397667</x:v>
      </x:c>
      <x:c r="Q79" s="17" t="n">
        <x:v>2.2994912429163175</x:v>
      </x:c>
      <x:c r="R79" s="11" t="n">
        <x:f>Q79/P79</x:f>
        <x:v>1.3204621249537243</x:v>
      </x:c>
      <x:c r="S79" s="16" t="n">
        <x:f>COUNTIFS($R$8:$R$437,"&gt;"&amp;R79)+COUNTIFS($R$8:R79,R79)</x:f>
        <x:v>78</x:v>
      </x:c>
      <x:c r="T79" s="16" t="n">
        <x:f>IF(S79&lt;='Wyniki'!$B$6,1,0)</x:f>
        <x:v>0</x:v>
      </x:c>
    </x:row>
    <x:row r="80" ht="22" customHeight="1">
      <x:c r="A80" s="18" t="n">
        <x:v>73</x:v>
      </x:c>
      <x:c r="B80" s="17" t="n">
        <x:v>-0.4471176024206793</x:v>
      </x:c>
      <x:c r="C80" s="17" t="n">
        <x:v>-0.22844649309882695</x:v>
      </x:c>
      <x:c r="D80" s="18" t="n">
        <x:v>0</x:v>
      </x:c>
      <x:c r="E80" s="17" t="n">
        <x:v>0.1508762146706887</x:v>
      </x:c>
      <x:c r="F80" s="18" t="n">
        <x:v>10</x:v>
      </x:c>
      <x:c r="G80" s="17" t="n">
        <x:v>0.14344577161007255</x:v>
      </x:c>
      <x:c r="H80" s="11" t="n">
        <x:f>1/G80</x:f>
        <x:v>6.971275547377526</x:v>
      </x:c>
      <x:c r="I80" s="17" t="n">
        <x:v>7.18122366014971</x:v>
      </x:c>
      <x:c r="J80" s="11" t="n">
        <x:f>I80/H80</x:f>
        <x:v>1.0301161690346845</x:v>
      </x:c>
      <x:c r="K80" s="16" t="n">
        <x:f>COUNTIFS($J$8:$J$437,"&gt;"&amp;J80)+COUNTIFS($J$8:J80,J80)</x:f>
        <x:v>217</x:v>
      </x:c>
      <x:c r="L80" s="16" t="n">
        <x:f>IF(K80&lt;='Wyniki'!$B$6,1,0)</x:f>
        <x:v>0</x:v>
      </x:c>
      <x:c r="M80" s="17" t="n">
        <x:v>0.3274715258958653</x:v>
      </x:c>
      <x:c r="N80" s="18" t="n">
        <x:v>40</x:v>
      </x:c>
      <x:c r="O80" s="17" t="n">
        <x:v>0.32708912951962477</x:v>
      </x:c>
      <x:c r="P80" s="11" t="n">
        <x:f>1/O80</x:f>
        <x:v>3.0572706634079743</x:v>
      </x:c>
      <x:c r="Q80" s="17" t="n">
        <x:v>3.0872605505179544</x:v>
      </x:c>
      <x:c r="R80" s="11" t="n">
        <x:f>Q80/P80</x:f>
        <x:v>1.0098093660691951</x:v>
      </x:c>
      <x:c r="S80" s="16" t="n">
        <x:f>COUNTIFS($R$8:$R$437,"&gt;"&amp;R80)+COUNTIFS($R$8:R80,R80)</x:f>
        <x:v>269</x:v>
      </x:c>
      <x:c r="T80" s="16" t="n">
        <x:f>IF(S80&lt;='Wyniki'!$B$6,1,0)</x:f>
        <x:v>0</x:v>
      </x:c>
    </x:row>
    <x:row r="81" ht="22" customHeight="1">
      <x:c r="A81" s="18" t="n">
        <x:v>74</x:v>
      </x:c>
      <x:c r="B81" s="17" t="n">
        <x:v>-0.33665323948289444</x:v>
      </x:c>
      <x:c r="C81" s="17" t="n">
        <x:v>-0.0774349875290119</x:v>
      </x:c>
      <x:c r="D81" s="18" t="n">
        <x:v>0</x:v>
      </x:c>
      <x:c r="E81" s="17" t="n">
        <x:v>0.17715113523299553</x:v>
      </x:c>
      <x:c r="F81" s="18" t="n">
        <x:v>10</x:v>
      </x:c>
      <x:c r="G81" s="17" t="n">
        <x:v>0.1530927967566119</x:v>
      </x:c>
      <x:c r="H81" s="11" t="n">
        <x:f>1/G81</x:f>
        <x:v>6.531985966588668</x:v>
      </x:c>
      <x:c r="I81" s="17" t="n">
        <x:v>7.1780557733555055</x:v>
      </x:c>
      <x:c r="J81" s="11" t="n">
        <x:f>I81/H81</x:f>
        <x:v>1.098908633617939</x:v>
      </x:c>
      <x:c r="K81" s="16" t="n">
        <x:f>COUNTIFS($J$8:$J$437,"&gt;"&amp;J81)+COUNTIFS($J$8:J81,J81)</x:f>
        <x:v>118</x:v>
      </x:c>
      <x:c r="L81" s="16" t="n">
        <x:f>IF(K81&lt;='Wyniki'!$B$6,1,0)</x:f>
        <x:v>0</x:v>
      </x:c>
      <x:c r="M81" s="17" t="n">
        <x:v>0.29726462349727373</x:v>
      </x:c>
      <x:c r="N81" s="18" t="n">
        <x:v>40</x:v>
      </x:c>
      <x:c r="O81" s="17" t="n">
        <x:v>0.30011418024246</x:v>
      </x:c>
      <x:c r="P81" s="11" t="n">
        <x:f>1/O81</x:f>
        <x:v>3.332065146645545</x:v>
      </x:c>
      <x:c r="Q81" s="17" t="n">
        <x:v>3.3518412503759274</x:v>
      </x:c>
      <x:c r="R81" s="11" t="n">
        <x:f>Q81/P81</x:f>
        <x:v>1.0059350891594336</x:v>
      </x:c>
      <x:c r="S81" s="16" t="n">
        <x:f>COUNTIFS($R$8:$R$437,"&gt;"&amp;R81)+COUNTIFS($R$8:R81,R81)</x:f>
        <x:v>281</x:v>
      </x:c>
      <x:c r="T81" s="16" t="n">
        <x:f>IF(S81&lt;='Wyniki'!$B$6,1,0)</x:f>
        <x:v>0</x:v>
      </x:c>
    </x:row>
    <x:row r="82" ht="22" customHeight="1">
      <x:c r="A82" s="18" t="n">
        <x:v>75</x:v>
      </x:c>
      <x:c r="B82" s="17" t="n">
        <x:v>0.586289126933204</x:v>
      </x:c>
      <x:c r="C82" s="17" t="n">
        <x:v>0.08637671209493955</x:v>
      </x:c>
      <x:c r="D82" s="18" t="n">
        <x:v>0</x:v>
      </x:c>
      <x:c r="E82" s="17" t="n">
        <x:v>0.16496276442703361</x:v>
      </x:c>
      <x:c r="F82" s="18" t="n">
        <x:v>10</x:v>
      </x:c>
      <x:c r="G82" s="17" t="n">
        <x:v>0.15569580529514387</x:v>
      </x:c>
      <x:c r="H82" s="11" t="n">
        <x:f>1/G82</x:f>
        <x:v>6.422780614444658</x:v>
      </x:c>
      <x:c r="I82" s="17" t="n">
        <x:v>6.90069463834625</x:v>
      </x:c>
      <x:c r="J82" s="11" t="n">
        <x:f>I82/H82</x:f>
        <x:v>1.074409208813201</x:v>
      </x:c>
      <x:c r="K82" s="16" t="n">
        <x:f>COUNTIFS($J$8:$J$437,"&gt;"&amp;J82)+COUNTIFS($J$8:J82,J82)</x:f>
        <x:v>145</x:v>
      </x:c>
      <x:c r="L82" s="16" t="n">
        <x:f>IF(K82&lt;='Wyniki'!$B$6,1,0)</x:f>
        <x:v>0</x:v>
      </x:c>
      <x:c r="M82" s="17" t="n">
        <x:v>0.3061171615198332</x:v>
      </x:c>
      <x:c r="N82" s="18" t="n">
        <x:v>40</x:v>
      </x:c>
      <x:c r="O82" s="17" t="n">
        <x:v>0.3119151403860138</x:v>
      </x:c>
      <x:c r="P82" s="11" t="n">
        <x:f>1/O82</x:f>
        <x:v>3.2060001921113535</x:v>
      </x:c>
      <x:c r="Q82" s="17" t="n">
        <x:v>3.234074251304711</x:v>
      </x:c>
      <x:c r="R82" s="11" t="n">
        <x:f>Q82/P82</x:f>
        <x:v>1.0087567241145015</x:v>
      </x:c>
      <x:c r="S82" s="16" t="n">
        <x:f>COUNTIFS($R$8:$R$437,"&gt;"&amp;R82)+COUNTIFS($R$8:R82,R82)</x:f>
        <x:v>274</x:v>
      </x:c>
      <x:c r="T82" s="16" t="n">
        <x:f>IF(S82&lt;='Wyniki'!$B$6,1,0)</x:f>
        <x:v>0</x:v>
      </x:c>
    </x:row>
    <x:row r="83" ht="22" customHeight="1">
      <x:c r="A83" s="18" t="n">
        <x:v>76</x:v>
      </x:c>
      <x:c r="B83" s="17" t="n">
        <x:v>-0.08724916037127857</x:v>
      </x:c>
      <x:c r="C83" s="17" t="n">
        <x:v>-0.5696095640541965</x:v>
      </x:c>
      <x:c r="D83" s="18" t="n">
        <x:v>0</x:v>
      </x:c>
      <x:c r="E83" s="17" t="n">
        <x:v>0.14485747659420237</x:v>
      </x:c>
      <x:c r="F83" s="18" t="n">
        <x:v>10</x:v>
      </x:c>
      <x:c r="G83" s="17" t="n">
        <x:v>0.14977164698726017</x:v>
      </x:c>
      <x:c r="H83" s="11" t="n">
        <x:f>1/G83</x:f>
        <x:v>6.676831163411468</x:v>
      </x:c>
      <x:c r="I83" s="17" t="n">
        <x:v>6.558245600424209</x:v>
      </x:c>
      <x:c r="J83" s="11" t="n">
        <x:f>I83/H83</x:f>
        <x:v>0.9822392449224867</x:v>
      </x:c>
      <x:c r="K83" s="16" t="n">
        <x:f>COUNTIFS($J$8:$J$437,"&gt;"&amp;J83)+COUNTIFS($J$8:J83,J83)</x:f>
        <x:v>374</x:v>
      </x:c>
      <x:c r="L83" s="16" t="n">
        <x:f>IF(K83&lt;='Wyniki'!$B$6,1,0)</x:f>
        <x:v>0</x:v>
      </x:c>
      <x:c r="M83" s="17" t="n">
        <x:v>0.3166010456462705</x:v>
      </x:c>
      <x:c r="N83" s="18" t="n">
        <x:v>40</x:v>
      </x:c>
      <x:c r="O83" s="17" t="n">
        <x:v>0.3319925785579835</x:v>
      </x:c>
      <x:c r="P83" s="11" t="n">
        <x:f>1/O83</x:f>
        <x:v>3.0121155248214295</x:v>
      </x:c>
      <x:c r="Q83" s="17" t="n">
        <x:v>3.0054954859706844</x:v>
      </x:c>
      <x:c r="R83" s="11" t="n">
        <x:f>Q83/P83</x:f>
        <x:v>0.9978021962317871</x:v>
      </x:c>
      <x:c r="S83" s="16" t="n">
        <x:f>COUNTIFS($R$8:$R$437,"&gt;"&amp;R83)+COUNTIFS($R$8:R83,R83)</x:f>
        <x:v>321</x:v>
      </x:c>
      <x:c r="T83" s="16" t="n">
        <x:f>IF(S83&lt;='Wyniki'!$B$6,1,0)</x:f>
        <x:v>0</x:v>
      </x:c>
    </x:row>
    <x:row r="84" ht="22" customHeight="1">
      <x:c r="A84" s="18" t="n">
        <x:v>77</x:v>
      </x:c>
      <x:c r="B84" s="17" t="n">
        <x:v>-0.9210756195873964</x:v>
      </x:c>
      <x:c r="C84" s="17" t="n">
        <x:v>-0.267469349990332</x:v>
      </x:c>
      <x:c r="D84" s="18" t="n">
        <x:v>0</x:v>
      </x:c>
      <x:c r="E84" s="17" t="n">
        <x:v>0.23745348955399143</x:v>
      </x:c>
      <x:c r="F84" s="18" t="n">
        <x:v>10</x:v>
      </x:c>
      <x:c r="G84" s="17" t="n">
        <x:v>0.22624801232294</x:v>
      </x:c>
      <x:c r="H84" s="11" t="n">
        <x:f>1/G84</x:f>
        <x:v>4.419928333216154</x:v>
      </x:c>
      <x:c r="I84" s="17" t="n">
        <x:v>4.482144244230622</x:v>
      </x:c>
      <x:c r="J84" s="11" t="n">
        <x:f>I84/H84</x:f>
        <x:v>1.0140762262018843</x:v>
      </x:c>
      <x:c r="K84" s="16" t="n">
        <x:f>COUNTIFS($J$8:$J$437,"&gt;"&amp;J84)+COUNTIFS($J$8:J84,J84)</x:f>
        <x:v>254</x:v>
      </x:c>
      <x:c r="L84" s="16" t="n">
        <x:f>IF(K84&lt;='Wyniki'!$B$6,1,0)</x:f>
        <x:v>0</x:v>
      </x:c>
      <x:c r="M84" s="17" t="n">
        <x:v>0.45013405435332926</x:v>
      </x:c>
      <x:c r="N84" s="18" t="n">
        <x:v>40</x:v>
      </x:c>
      <x:c r="O84" s="17" t="n">
        <x:v>0.449987348693075</x:v>
      </x:c>
      <x:c r="P84" s="11" t="n">
        <x:f>1/O84</x:f>
        <x:v>2.222284699568464</x:v>
      </x:c>
      <x:c r="Q84" s="17" t="n">
        <x:v>2.4687575118185645</x:v>
      </x:c>
      <x:c r="R84" s="11" t="n">
        <x:f>Q84/P84</x:f>
        <x:v>1.1109096473093487</x:v>
      </x:c>
      <x:c r="S84" s="16" t="n">
        <x:f>COUNTIFS($R$8:$R$437,"&gt;"&amp;R84)+COUNTIFS($R$8:R84,R84)</x:f>
        <x:v>144</x:v>
      </x:c>
      <x:c r="T84" s="16" t="n">
        <x:f>IF(S84&lt;='Wyniki'!$B$6,1,0)</x:f>
        <x:v>0</x:v>
      </x:c>
    </x:row>
    <x:row r="85" ht="22" customHeight="1">
      <x:c r="A85" s="18" t="n">
        <x:v>78</x:v>
      </x:c>
      <x:c r="B85" s="17" t="n">
        <x:v>-0.029580402950076273</x:v>
      </x:c>
      <x:c r="C85" s="17" t="n">
        <x:v>0.9723614524689357</x:v>
      </x:c>
      <x:c r="D85" s="18" t="n">
        <x:v>0</x:v>
      </x:c>
      <x:c r="E85" s="17" t="n">
        <x:v>0.24408243335898175</x:v>
      </x:c>
      <x:c r="F85" s="18" t="n">
        <x:v>10</x:v>
      </x:c>
      <x:c r="G85" s="17" t="n">
        <x:v>0.25857328627112075</x:v>
      </x:c>
      <x:c r="H85" s="11" t="n">
        <x:f>1/G85</x:f>
        <x:v>3.867375529858387</x:v>
      </x:c>
      <x:c r="I85" s="17" t="n">
        <x:v>4.8340970098731</x:v>
      </x:c>
      <x:c r="J85" s="11" t="n">
        <x:f>I85/H85</x:f>
        <x:v>1.2499683499962861</x:v>
      </x:c>
      <x:c r="K85" s="16" t="n">
        <x:f>COUNTIFS($J$8:$J$437,"&gt;"&amp;J85)+COUNTIFS($J$8:J85,J85)</x:f>
        <x:v>50</x:v>
      </x:c>
      <x:c r="L85" s="16" t="n">
        <x:f>IF(K85&lt;='Wyniki'!$B$6,1,0)</x:f>
        <x:v>0</x:v>
      </x:c>
      <x:c r="M85" s="17" t="n">
        <x:v>0.5091134476058297</x:v>
      </x:c>
      <x:c r="N85" s="18" t="n">
        <x:v>40</x:v>
      </x:c>
      <x:c r="O85" s="17" t="n">
        <x:v>0.47811134440563335</x:v>
      </x:c>
      <x:c r="P85" s="11" t="n">
        <x:f>1/O85</x:f>
        <x:v>2.091563004519701</x:v>
      </x:c>
      <x:c r="Q85" s="17" t="n">
        <x:v>2.3851061258715207</x:v>
      </x:c>
      <x:c r="R85" s="11" t="n">
        <x:f>Q85/P85</x:f>
        <x:v>1.1403462963905446</x:v>
      </x:c>
      <x:c r="S85" s="16" t="n">
        <x:f>COUNTIFS($R$8:$R$437,"&gt;"&amp;R85)+COUNTIFS($R$8:R85,R85)</x:f>
        <x:v>131</x:v>
      </x:c>
      <x:c r="T85" s="16" t="n">
        <x:f>IF(S85&lt;='Wyniki'!$B$6,1,0)</x:f>
        <x:v>0</x:v>
      </x:c>
    </x:row>
    <x:row r="86" ht="22" customHeight="1">
      <x:c r="A86" s="18" t="n">
        <x:v>79</x:v>
      </x:c>
      <x:c r="B86" s="17" t="n">
        <x:v>0.07165098681008722</x:v>
      </x:c>
      <x:c r="C86" s="17" t="n">
        <x:v>0.5405067310626817</x:v>
      </x:c>
      <x:c r="D86" s="18" t="n">
        <x:v>0</x:v>
      </x:c>
      <x:c r="E86" s="17" t="n">
        <x:v>0.16087866124144098</x:v>
      </x:c>
      <x:c r="F86" s="18" t="n">
        <x:v>10</x:v>
      </x:c>
      <x:c r="G86" s="17" t="n">
        <x:v>0.16068536609184733</x:v>
      </x:c>
      <x:c r="H86" s="11" t="n">
        <x:f>1/G86</x:f>
        <x:v>6.223342077264228</x:v>
      </x:c>
      <x:c r="I86" s="17" t="n">
        <x:v>6.285635962959991</x:v>
      </x:c>
      <x:c r="J86" s="11" t="n">
        <x:f>I86/H86</x:f>
        <x:v>1.0100097158283075</x:v>
      </x:c>
      <x:c r="K86" s="16" t="n">
        <x:f>COUNTIFS($J$8:$J$437,"&gt;"&amp;J86)+COUNTIFS($J$8:J86,J86)</x:f>
        <x:v>267</x:v>
      </x:c>
      <x:c r="L86" s="16" t="n">
        <x:f>IF(K86&lt;='Wyniki'!$B$6,1,0)</x:f>
        <x:v>0</x:v>
      </x:c>
      <x:c r="M86" s="17" t="n">
        <x:v>0.3360741812201905</x:v>
      </x:c>
      <x:c r="N86" s="18" t="n">
        <x:v>40</x:v>
      </x:c>
      <x:c r="O86" s="17" t="n">
        <x:v>0.33988683000574216</x:v>
      </x:c>
      <x:c r="P86" s="11" t="n">
        <x:f>1/O86</x:f>
        <x:v>2.942155775741901</x:v>
      </x:c>
      <x:c r="Q86" s="17" t="n">
        <x:v>3.004981678121064</x:v>
      </x:c>
      <x:c r="R86" s="11" t="n">
        <x:f>Q86/P86</x:f>
        <x:v>1.021353696801904</x:v>
      </x:c>
      <x:c r="S86" s="16" t="n">
        <x:f>COUNTIFS($R$8:$R$437,"&gt;"&amp;R86)+COUNTIFS($R$8:R86,R86)</x:f>
        <x:v>237</x:v>
      </x:c>
      <x:c r="T86" s="16" t="n">
        <x:f>IF(S86&lt;='Wyniki'!$B$6,1,0)</x:f>
        <x:v>0</x:v>
      </x:c>
    </x:row>
    <x:row r="87" ht="22" customHeight="1">
      <x:c r="A87" s="18" t="n">
        <x:v>80</x:v>
      </x:c>
      <x:c r="B87" s="17" t="n">
        <x:v>-0.27461257919653365</x:v>
      </x:c>
      <x:c r="C87" s="17" t="n">
        <x:v>-0.6517190715293636</x:v>
      </x:c>
      <x:c r="D87" s="18" t="n">
        <x:v>0</x:v>
      </x:c>
      <x:c r="E87" s="17" t="n">
        <x:v>0.15279502476424006</x:v>
      </x:c>
      <x:c r="F87" s="18" t="n">
        <x:v>10</x:v>
      </x:c>
      <x:c r="G87" s="17" t="n">
        <x:v>0.15547629625535456</x:v>
      </x:c>
      <x:c r="H87" s="11" t="n">
        <x:f>1/G87</x:f>
        <x:v>6.431848610270457</x:v>
      </x:c>
      <x:c r="I87" s="17" t="n">
        <x:v>6.115702310636566</x:v>
      </x:c>
      <x:c r="J87" s="11" t="n">
        <x:f>I87/H87</x:f>
        <x:v>0.9508467442580871</x:v>
      </x:c>
      <x:c r="K87" s="16" t="n">
        <x:f>COUNTIFS($J$8:$J$437,"&gt;"&amp;J87)+COUNTIFS($J$8:J87,J87)</x:f>
        <x:v>424</x:v>
      </x:c>
      <x:c r="L87" s="16" t="n">
        <x:f>IF(K87&lt;='Wyniki'!$B$6,1,0)</x:f>
        <x:v>0</x:v>
      </x:c>
      <x:c r="M87" s="17" t="n">
        <x:v>0.3671500765765784</x:v>
      </x:c>
      <x:c r="N87" s="18" t="n">
        <x:v>40</x:v>
      </x:c>
      <x:c r="O87" s="17" t="n">
        <x:v>0.35847718058946504</x:v>
      </x:c>
      <x:c r="P87" s="11" t="n">
        <x:f>1/O87</x:f>
        <x:v>2.7895778424602686</x:v>
      </x:c>
      <x:c r="Q87" s="17" t="n">
        <x:v>2.8300341899260744</x:v>
      </x:c>
      <x:c r="R87" s="11" t="n">
        <x:f>Q87/P87</x:f>
        <x:v>1.0145026773764898</x:v>
      </x:c>
      <x:c r="S87" s="16" t="n">
        <x:f>COUNTIFS($R$8:$R$437,"&gt;"&amp;R87)+COUNTIFS($R$8:R87,R87)</x:f>
        <x:v>253</x:v>
      </x:c>
      <x:c r="T87" s="16" t="n">
        <x:f>IF(S87&lt;='Wyniki'!$B$6,1,0)</x:f>
        <x:v>0</x:v>
      </x:c>
    </x:row>
    <x:row r="88" ht="22" customHeight="1">
      <x:c r="A88" s="18" t="n">
        <x:v>81</x:v>
      </x:c>
      <x:c r="B88" s="17" t="n">
        <x:v>-0.5308142192278046</x:v>
      </x:c>
      <x:c r="C88" s="17" t="n">
        <x:v>-0.3988743354946643</x:v>
      </x:c>
      <x:c r="D88" s="18" t="n">
        <x:v>0</x:v>
      </x:c>
      <x:c r="E88" s="17" t="n">
        <x:v>0.1688371580060241</x:v>
      </x:c>
      <x:c r="F88" s="18" t="n">
        <x:v>10</x:v>
      </x:c>
      <x:c r="G88" s="17" t="n">
        <x:v>0.177816349308705</x:v>
      </x:c>
      <x:c r="H88" s="11" t="n">
        <x:f>1/G88</x:f>
        <x:v>5.623779837386668</x:v>
      </x:c>
      <x:c r="I88" s="17" t="n">
        <x:v>5.75292451057979</x:v>
      </x:c>
      <x:c r="J88" s="11" t="n">
        <x:f>I88/H88</x:f>
        <x:v>1.0229640343198667</x:v>
      </x:c>
      <x:c r="K88" s="16" t="n">
        <x:f>COUNTIFS($J$8:$J$437,"&gt;"&amp;J88)+COUNTIFS($J$8:J88,J88)</x:f>
        <x:v>235</x:v>
      </x:c>
      <x:c r="L88" s="16" t="n">
        <x:f>IF(K88&lt;='Wyniki'!$B$6,1,0)</x:f>
        <x:v>0</x:v>
      </x:c>
      <x:c r="M88" s="17" t="n">
        <x:v>0.33918352318718226</x:v>
      </x:c>
      <x:c r="N88" s="18" t="n">
        <x:v>40</x:v>
      </x:c>
      <x:c r="O88" s="17" t="n">
        <x:v>0.36047622346040026</x:v>
      </x:c>
      <x:c r="P88" s="11" t="n">
        <x:f>1/O88</x:f>
        <x:v>2.7741080684891664</x:v>
      </x:c>
      <x:c r="Q88" s="17" t="n">
        <x:v>2.8106303810354194</x:v>
      </x:c>
      <x:c r="R88" s="11" t="n">
        <x:f>Q88/P88</x:f>
        <x:v>1.0131654252987137</x:v>
      </x:c>
      <x:c r="S88" s="16" t="n">
        <x:f>COUNTIFS($R$8:$R$437,"&gt;"&amp;R88)+COUNTIFS($R$8:R88,R88)</x:f>
        <x:v>254</x:v>
      </x:c>
      <x:c r="T88" s="16" t="n">
        <x:f>IF(S88&lt;='Wyniki'!$B$6,1,0)</x:f>
        <x:v>0</x:v>
      </x:c>
    </x:row>
    <x:row r="89" ht="22" customHeight="1">
      <x:c r="A89" s="18" t="n">
        <x:v>82</x:v>
      </x:c>
      <x:c r="B89" s="17" t="n">
        <x:v>1.1706583528393406</x:v>
      </x:c>
      <x:c r="C89" s="17" t="n">
        <x:v>-0.45176267357341243</x:v>
      </x:c>
      <x:c r="D89" s="18" t="n">
        <x:v>0</x:v>
      </x:c>
      <x:c r="E89" s="17" t="n">
        <x:v>0.4496959234449013</x:v>
      </x:c>
      <x:c r="F89" s="18" t="n">
        <x:v>10</x:v>
      </x:c>
      <x:c r="G89" s="17" t="n">
        <x:v>0.4179400996371557</x:v>
      </x:c>
      <x:c r="H89" s="11" t="n">
        <x:f>1/G89</x:f>
        <x:v>2.392687375219973</x:v>
      </x:c>
      <x:c r="I89" s="17" t="n">
        <x:v>3.0063732139945016</x:v>
      </x:c>
      <x:c r="J89" s="11" t="n">
        <x:f>I89/H89</x:f>
        <x:v>1.256483920603338</x:v>
      </x:c>
      <x:c r="K89" s="16" t="n">
        <x:f>COUNTIFS($J$8:$J$437,"&gt;"&amp;J89)+COUNTIFS($J$8:J89,J89)</x:f>
        <x:v>48</x:v>
      </x:c>
      <x:c r="L89" s="16" t="n">
        <x:f>IF(K89&lt;='Wyniki'!$B$6,1,0)</x:f>
        <x:v>0</x:v>
      </x:c>
      <x:c r="M89" s="17" t="n">
        <x:v>0.7568429698217143</x:v>
      </x:c>
      <x:c r="N89" s="18" t="n">
        <x:v>40</x:v>
      </x:c>
      <x:c r="O89" s="17" t="n">
        <x:v>0.6724652118456931</x:v>
      </x:c>
      <x:c r="P89" s="11" t="n">
        <x:f>1/O89</x:f>
        <x:v>1.487065772897505</x:v>
      </x:c>
      <x:c r="Q89" s="17" t="n">
        <x:v>2.1478808323466603</x:v>
      </x:c>
      <x:c r="R89" s="11" t="n">
        <x:f>Q89/P89</x:f>
        <x:v>1.4443751389433004</x:v>
      </x:c>
      <x:c r="S89" s="16" t="n">
        <x:f>COUNTIFS($R$8:$R$437,"&gt;"&amp;R89)+COUNTIFS($R$8:R89,R89)</x:f>
        <x:v>60</x:v>
      </x:c>
      <x:c r="T89" s="16" t="n">
        <x:f>IF(S89&lt;='Wyniki'!$B$6,1,0)</x:f>
        <x:v>0</x:v>
      </x:c>
    </x:row>
    <x:row r="90" ht="22" customHeight="1">
      <x:c r="A90" s="18" t="n">
        <x:v>83</x:v>
      </x:c>
      <x:c r="B90" s="17" t="n">
        <x:v>0.46116906205498975</x:v>
      </x:c>
      <x:c r="C90" s="17" t="n">
        <x:v>-0.49660994794786456</x:v>
      </x:c>
      <x:c r="D90" s="18" t="n">
        <x:v>0</x:v>
      </x:c>
      <x:c r="E90" s="17" t="n">
        <x:v>0.205445464574768</x:v>
      </x:c>
      <x:c r="F90" s="18" t="n">
        <x:v>10</x:v>
      </x:c>
      <x:c r="G90" s="17" t="n">
        <x:v>0.24172201157851925</x:v>
      </x:c>
      <x:c r="H90" s="11" t="n">
        <x:f>1/G90</x:f>
        <x:v>4.136983609683255</x:v>
      </x:c>
      <x:c r="I90" s="17" t="n">
        <x:v>4.615581429540554</x:v>
      </x:c>
      <x:c r="J90" s="11" t="n">
        <x:f>I90/H90</x:f>
        <x:v>1.1156876277530001</x:v>
      </x:c>
      <x:c r="K90" s="16" t="n">
        <x:f>COUNTIFS($J$8:$J$437,"&gt;"&amp;J90)+COUNTIFS($J$8:J90,J90)</x:f>
        <x:v>105</x:v>
      </x:c>
      <x:c r="L90" s="16" t="n">
        <x:f>IF(K90&lt;='Wyniki'!$B$6,1,0)</x:f>
        <x:v>0</x:v>
      </x:c>
      <x:c r="M90" s="17" t="n">
        <x:v>0.39153928510561464</x:v>
      </x:c>
      <x:c r="N90" s="18" t="n">
        <x:v>40</x:v>
      </x:c>
      <x:c r="O90" s="17" t="n">
        <x:v>0.37707010779570826</x:v>
      </x:c>
      <x:c r="P90" s="11" t="n">
        <x:f>1/O90</x:f>
        <x:v>2.652026716850722</x:v>
      </x:c>
      <x:c r="Q90" s="17" t="n">
        <x:v>2.9638318552987273</x:v>
      </x:c>
      <x:c r="R90" s="11" t="n">
        <x:f>Q90/P90</x:f>
        <x:v>1.117572397165845</x:v>
      </x:c>
      <x:c r="S90" s="16" t="n">
        <x:f>COUNTIFS($R$8:$R$437,"&gt;"&amp;R90)+COUNTIFS($R$8:R90,R90)</x:f>
        <x:v>141</x:v>
      </x:c>
      <x:c r="T90" s="16" t="n">
        <x:f>IF(S90&lt;='Wyniki'!$B$6,1,0)</x:f>
        <x:v>0</x:v>
      </x:c>
    </x:row>
    <x:row r="91" ht="22" customHeight="1">
      <x:c r="A91" s="18" t="n">
        <x:v>84</x:v>
      </x:c>
      <x:c r="B91" s="17" t="n">
        <x:v>0.5123651570808343</x:v>
      </x:c>
      <x:c r="C91" s="17" t="n">
        <x:v>0.21172303135822476</x:v>
      </x:c>
      <x:c r="D91" s="18" t="n">
        <x:v>0</x:v>
      </x:c>
      <x:c r="E91" s="17" t="n">
        <x:v>0.11253837603578436</x:v>
      </x:c>
      <x:c r="F91" s="18" t="n">
        <x:v>10</x:v>
      </x:c>
      <x:c r="G91" s="17" t="n">
        <x:v>0.1224198630762007</x:v>
      </x:c>
      <x:c r="H91" s="11" t="n">
        <x:f>1/G91</x:f>
        <x:v>8.168609038367787</x:v>
      </x:c>
      <x:c r="I91" s="17" t="n">
        <x:v>8.022657466734714</x:v>
      </x:c>
      <x:c r="J91" s="11" t="n">
        <x:f>I91/H91</x:f>
        <x:v>0.9821326285849229</x:v>
      </x:c>
      <x:c r="K91" s="16" t="n">
        <x:f>COUNTIFS($J$8:$J$437,"&gt;"&amp;J91)+COUNTIFS($J$8:J91,J91)</x:f>
        <x:v>375</x:v>
      </x:c>
      <x:c r="L91" s="16" t="n">
        <x:f>IF(K91&lt;='Wyniki'!$B$6,1,0)</x:f>
        <x:v>0</x:v>
      </x:c>
      <x:c r="M91" s="17" t="n">
        <x:v>0.2811938329846192</x:v>
      </x:c>
      <x:c r="N91" s="18" t="n">
        <x:v>40</x:v>
      </x:c>
      <x:c r="O91" s="17" t="n">
        <x:v>0.29006734922134164</x:v>
      </x:c>
      <x:c r="P91" s="11" t="n">
        <x:f>1/O91</x:f>
        <x:v>3.4474752249241614</x:v>
      </x:c>
      <x:c r="Q91" s="17" t="n">
        <x:v>3.4077528651234097</x:v>
      </x:c>
      <x:c r="R91" s="11" t="n">
        <x:f>Q91/P91</x:f>
        <x:v>0.9884778403877795</x:v>
      </x:c>
      <x:c r="S91" s="16" t="n">
        <x:f>COUNTIFS($R$8:$R$437,"&gt;"&amp;R91)+COUNTIFS($R$8:R91,R91)</x:f>
        <x:v>353</x:v>
      </x:c>
      <x:c r="T91" s="16" t="n">
        <x:f>IF(S91&lt;='Wyniki'!$B$6,1,0)</x:f>
        <x:v>0</x:v>
      </x:c>
    </x:row>
    <x:row r="92" ht="22" customHeight="1">
      <x:c r="A92" s="18" t="n">
        <x:v>85</x:v>
      </x:c>
      <x:c r="B92" s="17" t="n">
        <x:v>-0.08615084371194974</x:v>
      </x:c>
      <x:c r="C92" s="17" t="n">
        <x:v>-0.022419389374488716</x:v>
      </x:c>
      <x:c r="D92" s="18" t="n">
        <x:v>0</x:v>
      </x:c>
      <x:c r="E92" s="17" t="n">
        <x:v>0.1312558375023788</x:v>
      </x:c>
      <x:c r="F92" s="18" t="n">
        <x:v>10</x:v>
      </x:c>
      <x:c r="G92" s="17" t="n">
        <x:v>0.1282809619740931</x:v>
      </x:c>
      <x:c r="H92" s="11" t="n">
        <x:f>1/G92</x:f>
        <x:v>7.7953890009178</x:v>
      </x:c>
      <x:c r="I92" s="17" t="n">
        <x:v>8.180686411652928</x:v>
      </x:c>
      <x:c r="J92" s="11" t="n">
        <x:f>I92/H92</x:f>
        <x:v>1.0494263224952296</x:v>
      </x:c>
      <x:c r="K92" s="16" t="n">
        <x:f>COUNTIFS($J$8:$J$437,"&gt;"&amp;J92)+COUNTIFS($J$8:J92,J92)</x:f>
        <x:v>179</x:v>
      </x:c>
      <x:c r="L92" s="16" t="n">
        <x:f>IF(K92&lt;='Wyniki'!$B$6,1,0)</x:f>
        <x:v>0</x:v>
      </x:c>
      <x:c r="M92" s="17" t="n">
        <x:v>0.23681324058697295</x:v>
      </x:c>
      <x:c r="N92" s="18" t="n">
        <x:v>40</x:v>
      </x:c>
      <x:c r="O92" s="17" t="n">
        <x:v>0.26159966146730623</x:v>
      </x:c>
      <x:c r="P92" s="11" t="n">
        <x:f>1/O92</x:f>
        <x:v>3.82263491623431</x:v>
      </x:c>
      <x:c r="Q92" s="17" t="n">
        <x:v>3.7756032268433986</x:v>
      </x:c>
      <x:c r="R92" s="11" t="n">
        <x:f>Q92/P92</x:f>
        <x:v>0.987696525977102</x:v>
      </x:c>
      <x:c r="S92" s="16" t="n">
        <x:f>COUNTIFS($R$8:$R$437,"&gt;"&amp;R92)+COUNTIFS($R$8:R92,R92)</x:f>
        <x:v>354</x:v>
      </x:c>
      <x:c r="T92" s="16" t="n">
        <x:f>IF(S92&lt;='Wyniki'!$B$6,1,0)</x:f>
        <x:v>0</x:v>
      </x:c>
    </x:row>
    <x:row r="93" ht="22" customHeight="1">
      <x:c r="A93" s="18" t="n">
        <x:v>86</x:v>
      </x:c>
      <x:c r="B93" s="17" t="n">
        <x:v>-0.36013323248616474</x:v>
      </x:c>
      <x:c r="C93" s="17" t="n">
        <x:v>0.24533971081514433</x:v>
      </x:c>
      <x:c r="D93" s="18" t="n">
        <x:v>0</x:v>
      </x:c>
      <x:c r="E93" s="17" t="n">
        <x:v>0.117798682914664</x:v>
      </x:c>
      <x:c r="F93" s="18" t="n">
        <x:v>10</x:v>
      </x:c>
      <x:c r="G93" s="17" t="n">
        <x:v>0.13731339011804752</x:v>
      </x:c>
      <x:c r="H93" s="11" t="n">
        <x:f>1/G93</x:f>
        <x:v>7.282610961249342</x:v>
      </x:c>
      <x:c r="I93" s="17" t="n">
        <x:v>7.306576223417949</x:v>
      </x:c>
      <x:c r="J93" s="11" t="n">
        <x:f>I93/H93</x:f>
        <x:v>1.003290751393439</x:v>
      </x:c>
      <x:c r="K93" s="16" t="n">
        <x:f>COUNTIFS($J$8:$J$437,"&gt;"&amp;J93)+COUNTIFS($J$8:J93,J93)</x:f>
        <x:v>293</x:v>
      </x:c>
      <x:c r="L93" s="16" t="n">
        <x:f>IF(K93&lt;='Wyniki'!$B$6,1,0)</x:f>
        <x:v>0</x:v>
      </x:c>
      <x:c r="M93" s="17" t="n">
        <x:v>0.29293687077939823</x:v>
      </x:c>
      <x:c r="N93" s="18" t="n">
        <x:v>40</x:v>
      </x:c>
      <x:c r="O93" s="17" t="n">
        <x:v>0.30277202668196834</x:v>
      </x:c>
      <x:c r="P93" s="11" t="n">
        <x:f>1/O93</x:f>
        <x:v>3.3028150287159774</x:v>
      </x:c>
      <x:c r="Q93" s="17" t="n">
        <x:v>3.329159643978747</x:v>
      </x:c>
      <x:c r="R93" s="11" t="n">
        <x:f>Q93/P93</x:f>
        <x:v>1.0079764125552655</x:v>
      </x:c>
      <x:c r="S93" s="16" t="n">
        <x:f>COUNTIFS($R$8:$R$437,"&gt;"&amp;R93)+COUNTIFS($R$8:R93,R93)</x:f>
        <x:v>276</x:v>
      </x:c>
      <x:c r="T93" s="16" t="n">
        <x:f>IF(S93&lt;='Wyniki'!$B$6,1,0)</x:f>
        <x:v>0</x:v>
      </x:c>
    </x:row>
    <x:row r="94" ht="22" customHeight="1">
      <x:c r="A94" s="18" t="n">
        <x:v>87</x:v>
      </x:c>
      <x:c r="B94" s="17" t="n">
        <x:v>-0.25024091418742905</x:v>
      </x:c>
      <x:c r="C94" s="17" t="n">
        <x:v>-0.6740831700719866</x:v>
      </x:c>
      <x:c r="D94" s="18" t="n">
        <x:v>0</x:v>
      </x:c>
      <x:c r="E94" s="17" t="n">
        <x:v>0.1583096725449229</x:v>
      </x:c>
      <x:c r="F94" s="18" t="n">
        <x:v>10</x:v>
      </x:c>
      <x:c r="G94" s="17" t="n">
        <x:v>0.16189291949734402</x:v>
      </x:c>
      <x:c r="H94" s="11" t="n">
        <x:f>1/G94</x:f>
        <x:v>6.176922394783335</x:v>
      </x:c>
      <x:c r="I94" s="17" t="n">
        <x:v>6.11441862952246</x:v>
      </x:c>
      <x:c r="J94" s="11" t="n">
        <x:f>I94/H94</x:f>
        <x:v>0.9898810829623402</x:v>
      </x:c>
      <x:c r="K94" s="16" t="n">
        <x:f>COUNTIFS($J$8:$J$437,"&gt;"&amp;J94)+COUNTIFS($J$8:J94,J94)</x:f>
        <x:v>348</x:v>
      </x:c>
      <x:c r="L94" s="16" t="n">
        <x:f>IF(K94&lt;='Wyniki'!$B$6,1,0)</x:f>
        <x:v>0</x:v>
      </x:c>
      <x:c r="M94" s="17" t="n">
        <x:v>0.35593392547163927</x:v>
      </x:c>
      <x:c r="N94" s="18" t="n">
        <x:v>40</x:v>
      </x:c>
      <x:c r="O94" s="17" t="n">
        <x:v>0.35852876940225975</x:v>
      </x:c>
      <x:c r="P94" s="11" t="n">
        <x:f>1/O94</x:f>
        <x:v>2.7891764492629227</x:v>
      </x:c>
      <x:c r="Q94" s="17" t="n">
        <x:v>2.845606572510453</x:v>
      </x:c>
      <x:c r="R94" s="11" t="n">
        <x:f>Q94/P94</x:f>
        <x:v>1.0202318226451548</x:v>
      </x:c>
      <x:c r="S94" s="16" t="n">
        <x:f>COUNTIFS($R$8:$R$437,"&gt;"&amp;R94)+COUNTIFS($R$8:R94,R94)</x:f>
        <x:v>239</x:v>
      </x:c>
      <x:c r="T94" s="16" t="n">
        <x:f>IF(S94&lt;='Wyniki'!$B$6,1,0)</x:f>
        <x:v>0</x:v>
      </x:c>
    </x:row>
    <x:row r="95" ht="22" customHeight="1">
      <x:c r="A95" s="18" t="n">
        <x:v>88</x:v>
      </x:c>
      <x:c r="B95" s="17" t="n">
        <x:v>-0.7028656658757907</x:v>
      </x:c>
      <x:c r="C95" s="17" t="n">
        <x:v>0.09492335474716572</x:v>
      </x:c>
      <x:c r="D95" s="18" t="n">
        <x:v>0</x:v>
      </x:c>
      <x:c r="E95" s="17" t="n">
        <x:v>0.18550574588791668</x:v>
      </x:c>
      <x:c r="F95" s="18" t="n">
        <x:v>10</x:v>
      </x:c>
      <x:c r="G95" s="17" t="n">
        <x:v>0.18543867373138898</x:v>
      </x:c>
      <x:c r="H95" s="11" t="n">
        <x:f>1/G95</x:f>
        <x:v>5.39261837823817</x:v>
      </x:c>
      <x:c r="I95" s="17" t="n">
        <x:v>5.489441589177967</x:v>
      </x:c>
      <x:c r="J95" s="11" t="n">
        <x:f>I95/H95</x:f>
        <x:v>1.0179547678230905</x:v>
      </x:c>
      <x:c r="K95" s="16" t="n">
        <x:f>COUNTIFS($J$8:$J$437,"&gt;"&amp;J95)+COUNTIFS($J$8:J95,J95)</x:f>
        <x:v>247</x:v>
      </x:c>
      <x:c r="L95" s="16" t="n">
        <x:f>IF(K95&lt;='Wyniki'!$B$6,1,0)</x:f>
        <x:v>0</x:v>
      </x:c>
      <x:c r="M95" s="17" t="n">
        <x:v>0.3570761967863344</x:v>
      </x:c>
      <x:c r="N95" s="18" t="n">
        <x:v>40</x:v>
      </x:c>
      <x:c r="O95" s="17" t="n">
        <x:v>0.3892886257559699</x:v>
      </x:c>
      <x:c r="P95" s="11" t="n">
        <x:f>1/O95</x:f>
        <x:v>2.5687881274673092</x:v>
      </x:c>
      <x:c r="Q95" s="17" t="n">
        <x:v>2.7003174650677075</x:v>
      </x:c>
      <x:c r="R95" s="11" t="n">
        <x:f>Q95/P95</x:f>
        <x:v>1.051202875081052</x:v>
      </x:c>
      <x:c r="S95" s="16" t="n">
        <x:f>COUNTIFS($R$8:$R$437,"&gt;"&amp;R95)+COUNTIFS($R$8:R95,R95)</x:f>
        <x:v>196</x:v>
      </x:c>
      <x:c r="T95" s="16" t="n">
        <x:f>IF(S95&lt;='Wyniki'!$B$6,1,0)</x:f>
        <x:v>0</x:v>
      </x:c>
    </x:row>
    <x:row r="96" ht="22" customHeight="1">
      <x:c r="A96" s="18" t="n">
        <x:v>89</x:v>
      </x:c>
      <x:c r="B96" s="17" t="n">
        <x:v>0.8685001910257393</x:v>
      </x:c>
      <x:c r="C96" s="17" t="n">
        <x:v>0.08799538746539104</x:v>
      </x:c>
      <x:c r="D96" s="18" t="n">
        <x:v>0</x:v>
      </x:c>
      <x:c r="E96" s="17" t="n">
        <x:v>0.23584910853594154</x:v>
      </x:c>
      <x:c r="F96" s="18" t="n">
        <x:v>10</x:v>
      </x:c>
      <x:c r="G96" s="17" t="n">
        <x:v>0.2572134179136969</x:v>
      </x:c>
      <x:c r="H96" s="11" t="n">
        <x:f>1/G96</x:f>
        <x:v>3.887822058861374</x:v>
      </x:c>
      <x:c r="I96" s="17" t="n">
        <x:v>4.242879269754277</x:v>
      </x:c>
      <x:c r="J96" s="11" t="n">
        <x:f>I96/H96</x:f>
        <x:v>1.091325478768668</x:v>
      </x:c>
      <x:c r="K96" s="16" t="n">
        <x:f>COUNTIFS($J$8:$J$437,"&gt;"&amp;J96)+COUNTIFS($J$8:J96,J96)</x:f>
        <x:v>126</x:v>
      </x:c>
      <x:c r="L96" s="16" t="n">
        <x:f>IF(K96&lt;='Wyniki'!$B$6,1,0)</x:f>
        <x:v>0</x:v>
      </x:c>
      <x:c r="M96" s="17" t="n">
        <x:v>0.4411869123183303</x:v>
      </x:c>
      <x:c r="N96" s="18" t="n">
        <x:v>40</x:v>
      </x:c>
      <x:c r="O96" s="17" t="n">
        <x:v>0.42688600145132727</x:v>
      </x:c>
      <x:c r="P96" s="11" t="n">
        <x:f>1/O96</x:f>
        <x:v>2.3425457770931803</x:v>
      </x:c>
      <x:c r="Q96" s="17" t="n">
        <x:v>2.7186640422651855</x:v>
      </x:c>
      <x:c r="R96" s="11" t="n">
        <x:f>Q96/P96</x:f>
        <x:v>1.1605596222920873</x:v>
      </x:c>
      <x:c r="S96" s="16" t="n">
        <x:f>COUNTIFS($R$8:$R$437,"&gt;"&amp;R96)+COUNTIFS($R$8:R96,R96)</x:f>
        <x:v>127</x:v>
      </x:c>
      <x:c r="T96" s="16" t="n">
        <x:f>IF(S96&lt;='Wyniki'!$B$6,1,0)</x:f>
        <x:v>0</x:v>
      </x:c>
    </x:row>
    <x:row r="97" ht="22" customHeight="1">
      <x:c r="A97" s="18" t="n">
        <x:v>90</x:v>
      </x:c>
      <x:c r="B97" s="17" t="n">
        <x:v>-0.06525107936043542</x:v>
      </x:c>
      <x:c r="C97" s="17" t="n">
        <x:v>0.1572043767813986</x:v>
      </x:c>
      <x:c r="D97" s="18" t="n">
        <x:v>0</x:v>
      </x:c>
      <x:c r="E97" s="17" t="n">
        <x:v>0.08855435782891778</x:v>
      </x:c>
      <x:c r="F97" s="18" t="n">
        <x:v>10</x:v>
      </x:c>
      <x:c r="G97" s="17" t="n">
        <x:v>0.10432689434281688</x:v>
      </x:c>
      <x:c r="H97" s="11" t="n">
        <x:f>1/G97</x:f>
        <x:v>9.585256096227809</x:v>
      </x:c>
      <x:c r="I97" s="17" t="n">
        <x:v>9.424244510602014</x:v>
      </x:c>
      <x:c r="J97" s="11" t="n">
        <x:f>I97/H97</x:f>
        <x:v>0.9832021613184483</x:v>
      </x:c>
      <x:c r="K97" s="16" t="n">
        <x:f>COUNTIFS($J$8:$J$437,"&gt;"&amp;J97)+COUNTIFS($J$8:J97,J97)</x:f>
        <x:v>371</x:v>
      </x:c>
      <x:c r="L97" s="16" t="n">
        <x:f>IF(K97&lt;='Wyniki'!$B$6,1,0)</x:f>
        <x:v>0</x:v>
      </x:c>
      <x:c r="M97" s="17" t="n">
        <x:v>0.25322424399835314</x:v>
      </x:c>
      <x:c r="N97" s="18" t="n">
        <x:v>40</x:v>
      </x:c>
      <x:c r="O97" s="17" t="n">
        <x:v>0.25832316357637974</x:v>
      </x:c>
      <x:c r="P97" s="11" t="n">
        <x:f>1/O97</x:f>
        <x:v>3.871120135551936</x:v>
      </x:c>
      <x:c r="Q97" s="17" t="n">
        <x:v>3.7746947836048705</x:v>
      </x:c>
      <x:c r="R97" s="11" t="n">
        <x:f>Q97/P97</x:f>
        <x:v>0.9750910980360683</x:v>
      </x:c>
      <x:c r="S97" s="16" t="n">
        <x:f>COUNTIFS($R$8:$R$437,"&gt;"&amp;R97)+COUNTIFS($R$8:R97,R97)</x:f>
        <x:v>411</x:v>
      </x:c>
      <x:c r="T97" s="16" t="n">
        <x:f>IF(S97&lt;='Wyniki'!$B$6,1,0)</x:f>
        <x:v>0</x:v>
      </x:c>
    </x:row>
    <x:row r="98" ht="22" customHeight="1">
      <x:c r="A98" s="18" t="n">
        <x:v>91</x:v>
      </x:c>
      <x:c r="B98" s="17" t="n">
        <x:v>0.7183009579387537</x:v>
      </x:c>
      <x:c r="C98" s="17" t="n">
        <x:v>0.120660375750121</x:v>
      </x:c>
      <x:c r="D98" s="18" t="n">
        <x:v>0</x:v>
      </x:c>
      <x:c r="E98" s="17" t="n">
        <x:v>0.18329242994345976</x:v>
      </x:c>
      <x:c r="F98" s="18" t="n">
        <x:v>10</x:v>
      </x:c>
      <x:c r="G98" s="17" t="n">
        <x:v>0.18309080847151354</x:v>
      </x:c>
      <x:c r="H98" s="11" t="n">
        <x:f>1/G98</x:f>
        <x:v>5.461770628183045</x:v>
      </x:c>
      <x:c r="I98" s="17" t="n">
        <x:v>5.649780336390831</x:v>
      </x:c>
      <x:c r="J98" s="11" t="n">
        <x:f>I98/H98</x:f>
        <x:v>1.034422849476257</x:v>
      </x:c>
      <x:c r="K98" s="16" t="n">
        <x:f>COUNTIFS($J$8:$J$437,"&gt;"&amp;J98)+COUNTIFS($J$8:J98,J98)</x:f>
        <x:v>206</x:v>
      </x:c>
      <x:c r="L98" s="16" t="n">
        <x:f>IF(K98&lt;='Wyniki'!$B$6,1,0)</x:f>
        <x:v>0</x:v>
      </x:c>
      <x:c r="M98" s="17" t="n">
        <x:v>0.3627995114634989</x:v>
      </x:c>
      <x:c r="N98" s="18" t="n">
        <x:v>40</x:v>
      </x:c>
      <x:c r="O98" s="17" t="n">
        <x:v>0.35403488412904016</x:v>
      </x:c>
      <x:c r="P98" s="11" t="n">
        <x:f>1/O98</x:f>
        <x:v>2.8245804151760243</x:v>
      </x:c>
      <x:c r="Q98" s="17" t="n">
        <x:v>3.0476203066908467</x:v>
      </x:c>
      <x:c r="R98" s="11" t="n">
        <x:f>Q98/P98</x:f>
        <x:v>1.078963902148604</x:v>
      </x:c>
      <x:c r="S98" s="16" t="n">
        <x:f>COUNTIFS($R$8:$R$437,"&gt;"&amp;R98)+COUNTIFS($R$8:R98,R98)</x:f>
        <x:v>166</x:v>
      </x:c>
      <x:c r="T98" s="16" t="n">
        <x:f>IF(S98&lt;='Wyniki'!$B$6,1,0)</x:f>
        <x:v>0</x:v>
      </x:c>
    </x:row>
    <x:row r="99" ht="22" customHeight="1">
      <x:c r="A99" s="18" t="n">
        <x:v>92</x:v>
      </x:c>
      <x:c r="B99" s="17" t="n">
        <x:v>-0.22600997695855546</x:v>
      </x:c>
      <x:c r="C99" s="17" t="n">
        <x:v>0.6084587905329389</x:v>
      </x:c>
      <x:c r="D99" s="18" t="n">
        <x:v>0</x:v>
      </x:c>
      <x:c r="E99" s="17" t="n">
        <x:v>0.1959304966536665</x:v>
      </x:c>
      <x:c r="F99" s="18" t="n">
        <x:v>10</x:v>
      </x:c>
      <x:c r="G99" s="17" t="n">
        <x:v>0.18400073790336205</x:v>
      </x:c>
      <x:c r="H99" s="11" t="n">
        <x:f>1/G99</x:f>
        <x:v>5.434760813433281</x:v>
      </x:c>
      <x:c r="I99" s="17" t="n">
        <x:v>5.397699054726466</x:v>
      </x:c>
      <x:c r="J99" s="11" t="n">
        <x:f>I99/H99</x:f>
        <x:v>0.9931806090499496</x:v>
      </x:c>
      <x:c r="K99" s="16" t="n">
        <x:f>COUNTIFS($J$8:$J$437,"&gt;"&amp;J99)+COUNTIFS($J$8:J99,J99)</x:f>
        <x:v>337</x:v>
      </x:c>
      <x:c r="L99" s="16" t="n">
        <x:f>IF(K99&lt;='Wyniki'!$B$6,1,0)</x:f>
        <x:v>0</x:v>
      </x:c>
      <x:c r="M99" s="17" t="n">
        <x:v>0.3806905710585981</x:v>
      </x:c>
      <x:c r="N99" s="18" t="n">
        <x:v>40</x:v>
      </x:c>
      <x:c r="O99" s="17" t="n">
        <x:v>0.37190471071267295</x:v>
      </x:c>
      <x:c r="P99" s="11" t="n">
        <x:f>1/O99</x:f>
        <x:v>2.6888608054566494</x:v>
      </x:c>
      <x:c r="Q99" s="17" t="n">
        <x:v>2.904127735072607</x:v>
      </x:c>
      <x:c r="R99" s="11" t="n">
        <x:f>Q99/P99</x:f>
        <x:v>1.080058785184828</x:v>
      </x:c>
      <x:c r="S99" s="16" t="n">
        <x:f>COUNTIFS($R$8:$R$437,"&gt;"&amp;R99)+COUNTIFS($R$8:R99,R99)</x:f>
        <x:v>163</x:v>
      </x:c>
      <x:c r="T99" s="16" t="n">
        <x:f>IF(S99&lt;='Wyniki'!$B$6,1,0)</x:f>
        <x:v>0</x:v>
      </x:c>
    </x:row>
    <x:row r="100" ht="22" customHeight="1">
      <x:c r="A100" s="18" t="n">
        <x:v>93</x:v>
      </x:c>
      <x:c r="B100" s="17" t="n">
        <x:v>0.23581604115388743</x:v>
      </x:c>
      <x:c r="C100" s="17" t="n">
        <x:v>0.8446657955977956</x:v>
      </x:c>
      <x:c r="D100" s="18" t="n">
        <x:v>0</x:v>
      </x:c>
      <x:c r="E100" s="17" t="n">
        <x:v>0.19182216649014938</x:v>
      </x:c>
      <x:c r="F100" s="18" t="n">
        <x:v>10</x:v>
      </x:c>
      <x:c r="G100" s="17" t="n">
        <x:v>0.1740374962504393</x:v>
      </x:c>
      <x:c r="H100" s="11" t="n">
        <x:f>1/G100</x:f>
        <x:v>5.745888222621887</x:v>
      </x:c>
      <x:c r="I100" s="17" t="n">
        <x:v>5.712924376054397</x:v>
      </x:c>
      <x:c r="J100" s="11" t="n">
        <x:f>I100/H100</x:f>
        <x:v>0.9942630546766104</x:v>
      </x:c>
      <x:c r="K100" s="16" t="n">
        <x:f>COUNTIFS($J$8:$J$437,"&gt;"&amp;J100)+COUNTIFS($J$8:J100,J100)</x:f>
        <x:v>333</x:v>
      </x:c>
      <x:c r="L100" s="16" t="n">
        <x:f>IF(K100&lt;='Wyniki'!$B$6,1,0)</x:f>
        <x:v>0</x:v>
      </x:c>
      <x:c r="M100" s="17" t="n">
        <x:v>0.4444060814609742</x:v>
      </x:c>
      <x:c r="N100" s="18" t="n">
        <x:v>40</x:v>
      </x:c>
      <x:c r="O100" s="17" t="n">
        <x:v>0.44384087728545935</x:v>
      </x:c>
      <x:c r="P100" s="11" t="n">
        <x:f>1/O100</x:f>
        <x:v>2.253059713913739</x:v>
      </x:c>
      <x:c r="Q100" s="17" t="n">
        <x:v>2.543235106373202</x:v>
      </x:c>
      <x:c r="R100" s="11" t="n">
        <x:f>Q100/P100</x:f>
        <x:v>1.1287917007558603</x:v>
      </x:c>
      <x:c r="S100" s="16" t="n">
        <x:f>COUNTIFS($R$8:$R$437,"&gt;"&amp;R100)+COUNTIFS($R$8:R100,R100)</x:f>
        <x:v>136</x:v>
      </x:c>
      <x:c r="T100" s="16" t="n">
        <x:f>IF(S100&lt;='Wyniki'!$B$6,1,0)</x:f>
        <x:v>0</x:v>
      </x:c>
    </x:row>
    <x:row r="101" ht="22" customHeight="1">
      <x:c r="A101" s="18" t="n">
        <x:v>94</x:v>
      </x:c>
      <x:c r="B101" s="17" t="n">
        <x:v>0.10077894047204838</x:v>
      </x:c>
      <x:c r="C101" s="17" t="n">
        <x:v>-0.6734579674462752</x:v>
      </x:c>
      <x:c r="D101" s="18" t="n">
        <x:v>0</x:v>
      </x:c>
      <x:c r="E101" s="17" t="n">
        <x:v>0.18127854161595458</x:v>
      </x:c>
      <x:c r="F101" s="18" t="n">
        <x:v>10</x:v>
      </x:c>
      <x:c r="G101" s="17" t="n">
        <x:v>0.1764794236746139</x:v>
      </x:c>
      <x:c r="H101" s="11" t="n">
        <x:f>1/G101</x:f>
        <x:v>5.6663829650971795</x:v>
      </x:c>
      <x:c r="I101" s="17" t="n">
        <x:v>5.889341743094872</x:v>
      </x:c>
      <x:c r="J101" s="11" t="n">
        <x:f>I101/H101</x:f>
        <x:v>1.039347636644229</x:v>
      </x:c>
      <x:c r="K101" s="16" t="n">
        <x:f>COUNTIFS($J$8:$J$437,"&gt;"&amp;J101)+COUNTIFS($J$8:J101,J101)</x:f>
        <x:v>198</x:v>
      </x:c>
      <x:c r="L101" s="16" t="n">
        <x:f>IF(K101&lt;='Wyniki'!$B$6,1,0)</x:f>
        <x:v>0</x:v>
      </x:c>
      <x:c r="M101" s="17" t="n">
        <x:v>0.36602255747450546</x:v>
      </x:c>
      <x:c r="N101" s="18" t="n">
        <x:v>40</x:v>
      </x:c>
      <x:c r="O101" s="17" t="n">
        <x:v>0.36510541962187787</x:v>
      </x:c>
      <x:c r="P101" s="11" t="n">
        <x:f>1/O101</x:f>
        <x:v>2.7389349657850928</x:v>
      </x:c>
      <x:c r="Q101" s="17" t="n">
        <x:v>2.8982853472252716</x:v>
      </x:c>
      <x:c r="R101" s="11" t="n">
        <x:f>Q101/P101</x:f>
        <x:v>1.0581796878826228</x:v>
      </x:c>
      <x:c r="S101" s="16" t="n">
        <x:f>COUNTIFS($R$8:$R$437,"&gt;"&amp;R101)+COUNTIFS($R$8:R101,R101)</x:f>
        <x:v>187</x:v>
      </x:c>
      <x:c r="T101" s="16" t="n">
        <x:f>IF(S101&lt;='Wyniki'!$B$6,1,0)</x:f>
        <x:v>0</x:v>
      </x:c>
    </x:row>
    <x:row r="102" ht="22" customHeight="1">
      <x:c r="A102" s="18" t="n">
        <x:v>95</x:v>
      </x:c>
      <x:c r="B102" s="17" t="n">
        <x:v>-0.7524875595851158</x:v>
      </x:c>
      <x:c r="C102" s="17" t="n">
        <x:v>0.9080103627271874</x:v>
      </x:c>
      <x:c r="D102" s="18" t="n">
        <x:v>0</x:v>
      </x:c>
      <x:c r="E102" s="17" t="n">
        <x:v>0.5335309676749291</x:v>
      </x:c>
      <x:c r="F102" s="18" t="n">
        <x:v>10</x:v>
      </x:c>
      <x:c r="G102" s="17" t="n">
        <x:v>0.4785676716211965</x:v>
      </x:c>
      <x:c r="H102" s="11" t="n">
        <x:f>1/G102</x:f>
        <x:v>2.0895686426381426</x:v>
      </x:c>
      <x:c r="I102" s="17" t="n">
        <x:v>3.4524568866921066</x:v>
      </x:c>
      <x:c r="J102" s="11" t="n">
        <x:f>I102/H102</x:f>
        <x:v>1.6522342536368066</x:v>
      </x:c>
      <x:c r="K102" s="16" t="n">
        <x:f>COUNTIFS($J$8:$J$437,"&gt;"&amp;J102)+COUNTIFS($J$8:J102,J102)</x:f>
        <x:v>14</x:v>
      </x:c>
      <x:c r="L102" s="16" t="n">
        <x:f>IF(K102&lt;='Wyniki'!$B$6,1,0)</x:f>
        <x:v>1</x:v>
      </x:c>
      <x:c r="M102" s="17" t="n">
        <x:v>0.7329394464363952</x:v>
      </x:c>
      <x:c r="N102" s="18" t="n">
        <x:v>40</x:v>
      </x:c>
      <x:c r="O102" s="17" t="n">
        <x:v>0.6360435924902111</x:v>
      </x:c>
      <x:c r="P102" s="11" t="n">
        <x:f>1/O102</x:f>
        <x:v>1.572219281519435</x:v>
      </x:c>
      <x:c r="Q102" s="17" t="n">
        <x:v>2.448745501806619</x:v>
      </x:c>
      <x:c r="R102" s="11" t="n">
        <x:f>Q102/P102</x:f>
        <x:v>1.5575088860633268</x:v>
      </x:c>
      <x:c r="S102" s="16" t="n">
        <x:f>COUNTIFS($R$8:$R$437,"&gt;"&amp;R102)+COUNTIFS($R$8:R102,R102)</x:f>
        <x:v>51</x:v>
      </x:c>
      <x:c r="T102" s="16" t="n">
        <x:f>IF(S102&lt;='Wyniki'!$B$6,1,0)</x:f>
        <x:v>0</x:v>
      </x:c>
    </x:row>
    <x:row r="103" ht="22" customHeight="1">
      <x:c r="A103" s="18" t="n">
        <x:v>96</x:v>
      </x:c>
      <x:c r="B103" s="17" t="n">
        <x:v>0.9480161464308134</x:v>
      </x:c>
      <x:c r="C103" s="17" t="n">
        <x:v>-0.09873556730543036</x:v>
      </x:c>
      <x:c r="D103" s="18" t="n">
        <x:v>0</x:v>
      </x:c>
      <x:c r="E103" s="17" t="n">
        <x:v>0.27596089439572064</x:v>
      </x:c>
      <x:c r="F103" s="18" t="n">
        <x:v>10</x:v>
      </x:c>
      <x:c r="G103" s="17" t="n">
        <x:v>0.2850914760349751</x:v>
      </x:c>
      <x:c r="H103" s="11" t="n">
        <x:f>1/G103</x:f>
        <x:v>3.507646085768344</x:v>
      </x:c>
      <x:c r="I103" s="17" t="n">
        <x:v>3.9360712526525687</x:v>
      </x:c>
      <x:c r="J103" s="11" t="n">
        <x:f>I103/H103</x:f>
        <x:v>1.1221403631975542</x:v>
      </x:c>
      <x:c r="K103" s="16" t="n">
        <x:f>COUNTIFS($J$8:$J$437,"&gt;"&amp;J103)+COUNTIFS($J$8:J103,J103)</x:f>
        <x:v>102</x:v>
      </x:c>
      <x:c r="L103" s="16" t="n">
        <x:f>IF(K103&lt;='Wyniki'!$B$6,1,0)</x:f>
        <x:v>0</x:v>
      </x:c>
      <x:c r="M103" s="17" t="n">
        <x:v>0.5109234220607624</x:v>
      </x:c>
      <x:c r="N103" s="18" t="n">
        <x:v>40</x:v>
      </x:c>
      <x:c r="O103" s="17" t="n">
        <x:v>0.5002919444273713</x:v>
      </x:c>
      <x:c r="P103" s="11" t="n">
        <x:f>1/O103</x:f>
        <x:v>1.9988329037450103</x:v>
      </x:c>
      <x:c r="Q103" s="17" t="n">
        <x:v>2.4950468487405946</x:v>
      </x:c>
      <x:c r="R103" s="11" t="n">
        <x:f>Q103/P103</x:f>
        <x:v>1.2482518393938176</x:v>
      </x:c>
      <x:c r="S103" s="16" t="n">
        <x:f>COUNTIFS($R$8:$R$437,"&gt;"&amp;R103)+COUNTIFS($R$8:R103,R103)</x:f>
        <x:v>98</x:v>
      </x:c>
      <x:c r="T103" s="16" t="n">
        <x:f>IF(S103&lt;='Wyniki'!$B$6,1,0)</x:f>
        <x:v>0</x:v>
      </x:c>
    </x:row>
    <x:row r="104" ht="22" customHeight="1">
      <x:c r="A104" s="18" t="n">
        <x:v>97</x:v>
      </x:c>
      <x:c r="B104" s="17" t="n">
        <x:v>-0.21075302662479328</x:v>
      </x:c>
      <x:c r="C104" s="17" t="n">
        <x:v>0.8037943607332113</x:v>
      </x:c>
      <x:c r="D104" s="18" t="n">
        <x:v>0</x:v>
      </x:c>
      <x:c r="E104" s="17" t="n">
        <x:v>0.2289425115926761</x:v>
      </x:c>
      <x:c r="F104" s="18" t="n">
        <x:v>10</x:v>
      </x:c>
      <x:c r="G104" s="17" t="n">
        <x:v>0.20498596008211742</x:v>
      </x:c>
      <x:c r="H104" s="11" t="n">
        <x:f>1/G104</x:f>
        <x:v>4.87838288826903</x:v>
      </x:c>
      <x:c r="I104" s="17" t="n">
        <x:v>5.14740308431783</x:v>
      </x:c>
      <x:c r="J104" s="11" t="n">
        <x:f>I104/H104</x:f>
        <x:v>1.0551453631685426</x:v>
      </x:c>
      <x:c r="K104" s="16" t="n">
        <x:f>COUNTIFS($J$8:$J$437,"&gt;"&amp;J104)+COUNTIFS($J$8:J104,J104)</x:f>
        <x:v>168</x:v>
      </x:c>
      <x:c r="L104" s="16" t="n">
        <x:f>IF(K104&lt;='Wyniki'!$B$6,1,0)</x:f>
        <x:v>0</x:v>
      </x:c>
      <x:c r="M104" s="17" t="n">
        <x:v>0.45642092075596286</x:v>
      </x:c>
      <x:c r="N104" s="18" t="n">
        <x:v>40</x:v>
      </x:c>
      <x:c r="O104" s="17" t="n">
        <x:v>0.4294225443841344</x:v>
      </x:c>
      <x:c r="P104" s="11" t="n">
        <x:f>1/O104</x:f>
        <x:v>2.328708664874993</x:v>
      </x:c>
      <x:c r="Q104" s="17" t="n">
        <x:v>2.5762497647772244</x:v>
      </x:c>
      <x:c r="R104" s="11" t="n">
        <x:f>Q104/P104</x:f>
        <x:v>1.1062997289596634</x:v>
      </x:c>
      <x:c r="S104" s="16" t="n">
        <x:f>COUNTIFS($R$8:$R$437,"&gt;"&amp;R104)+COUNTIFS($R$8:R104,R104)</x:f>
        <x:v>150</x:v>
      </x:c>
      <x:c r="T104" s="16" t="n">
        <x:f>IF(S104&lt;='Wyniki'!$B$6,1,0)</x:f>
        <x:v>0</x:v>
      </x:c>
    </x:row>
    <x:row r="105" ht="22" customHeight="1">
      <x:c r="A105" s="18" t="n">
        <x:v>98</x:v>
      </x:c>
      <x:c r="B105" s="17" t="n">
        <x:v>-0.6088751251239184</x:v>
      </x:c>
      <x:c r="C105" s="17" t="n">
        <x:v>-0.4920998604257046</x:v>
      </x:c>
      <x:c r="D105" s="18" t="n">
        <x:v>0</x:v>
      </x:c>
      <x:c r="E105" s="17" t="n">
        <x:v>0.20383732831367785</x:v>
      </x:c>
      <x:c r="F105" s="18" t="n">
        <x:v>10</x:v>
      </x:c>
      <x:c r="G105" s="17" t="n">
        <x:v>0.20076749950878175</x:v>
      </x:c>
      <x:c r="H105" s="11" t="n">
        <x:f>1/G105</x:f>
        <x:v>4.9808858627352635</x:v>
      </x:c>
      <x:c r="I105" s="17" t="n">
        <x:v>5.254907443833929</x:v>
      </x:c>
      <x:c r="J105" s="11" t="n">
        <x:f>I105/H105</x:f>
        <x:v>1.0550146276486219</x:v>
      </x:c>
      <x:c r="K105" s="16" t="n">
        <x:f>COUNTIFS($J$8:$J$437,"&gt;"&amp;J105)+COUNTIFS($J$8:J105,J105)</x:f>
        <x:v>169</x:v>
      </x:c>
      <x:c r="L105" s="16" t="n">
        <x:f>IF(K105&lt;='Wyniki'!$B$6,1,0)</x:f>
        <x:v>0</x:v>
      </x:c>
      <x:c r="M105" s="17" t="n">
        <x:v>0.3846141117557911</x:v>
      </x:c>
      <x:c r="N105" s="18" t="n">
        <x:v>40</x:v>
      </x:c>
      <x:c r="O105" s="17" t="n">
        <x:v>0.38104221729506876</x:v>
      </x:c>
      <x:c r="P105" s="11" t="n">
        <x:f>1/O105</x:f>
        <x:v>2.6243811173963096</x:v>
      </x:c>
      <x:c r="Q105" s="17" t="n">
        <x:v>2.675015579251801</x:v>
      </x:c>
      <x:c r="R105" s="11" t="n">
        <x:f>Q105/P105</x:f>
        <x:v>1.019293867616959</x:v>
      </x:c>
      <x:c r="S105" s="16" t="n">
        <x:f>COUNTIFS($R$8:$R$437,"&gt;"&amp;R105)+COUNTIFS($R$8:R105,R105)</x:f>
        <x:v>241</x:v>
      </x:c>
      <x:c r="T105" s="16" t="n">
        <x:f>IF(S105&lt;='Wyniki'!$B$6,1,0)</x:f>
        <x:v>0</x:v>
      </x:c>
    </x:row>
    <x:row r="106" ht="22" customHeight="1">
      <x:c r="A106" s="18" t="n">
        <x:v>99</x:v>
      </x:c>
      <x:c r="B106" s="17" t="n">
        <x:v>0.35382973707897447</x:v>
      </x:c>
      <x:c r="C106" s="17" t="n">
        <x:v>-0.2170328175727743</x:v>
      </x:c>
      <x:c r="D106" s="18" t="n">
        <x:v>0</x:v>
      </x:c>
      <x:c r="E106" s="17" t="n">
        <x:v>0.125139952009526</x:v>
      </x:c>
      <x:c r="F106" s="18" t="n">
        <x:v>10</x:v>
      </x:c>
      <x:c r="G106" s="17" t="n">
        <x:v>0.13352804292312992</x:v>
      </x:c>
      <x:c r="H106" s="11" t="n">
        <x:f>1/G106</x:f>
        <x:v>7.489063556302439</x:v>
      </x:c>
      <x:c r="I106" s="17" t="n">
        <x:v>7.396874683327605</x:v>
      </x:c>
      <x:c r="J106" s="11" t="n">
        <x:f>I106/H106</x:f>
        <x:v>0.9876902002123814</x:v>
      </x:c>
      <x:c r="K106" s="16" t="n">
        <x:f>COUNTIFS($J$8:$J$437,"&gt;"&amp;J106)+COUNTIFS($J$8:J106,J106)</x:f>
        <x:v>354</x:v>
      </x:c>
      <x:c r="L106" s="16" t="n">
        <x:f>IF(K106&lt;='Wyniki'!$B$6,1,0)</x:f>
        <x:v>0</x:v>
      </x:c>
      <x:c r="M106" s="17" t="n">
        <x:v>0.3179799584266029</x:v>
      </x:c>
      <x:c r="N106" s="18" t="n">
        <x:v>40</x:v>
      </x:c>
      <x:c r="O106" s="17" t="n">
        <x:v>0.29905018499248526</x:v>
      </x:c>
      <x:c r="P106" s="11" t="n">
        <x:f>1/O106</x:f>
        <x:v>3.3439203524489667</x:v>
      </x:c>
      <x:c r="Q106" s="17" t="n">
        <x:v>3.3624808714332217</x:v>
      </x:c>
      <x:c r="R106" s="11" t="n">
        <x:f>Q106/P106</x:f>
        <x:v>1.005550526635798</x:v>
      </x:c>
      <x:c r="S106" s="16" t="n">
        <x:f>COUNTIFS($R$8:$R$437,"&gt;"&amp;R106)+COUNTIFS($R$8:R106,R106)</x:f>
        <x:v>285</x:v>
      </x:c>
      <x:c r="T106" s="16" t="n">
        <x:f>IF(S106&lt;='Wyniki'!$B$6,1,0)</x:f>
        <x:v>0</x:v>
      </x:c>
    </x:row>
    <x:row r="107" ht="22" customHeight="1">
      <x:c r="A107" s="18" t="n">
        <x:v>100</x:v>
      </x:c>
      <x:c r="B107" s="17" t="n">
        <x:v>-0.002817026696039213</x:v>
      </x:c>
      <x:c r="C107" s="17" t="n">
        <x:v>-0.08989359418848192</x:v>
      </x:c>
      <x:c r="D107" s="18" t="n">
        <x:v>0</x:v>
      </x:c>
      <x:c r="E107" s="17" t="n">
        <x:v>0.1365607187531075</x:v>
      </x:c>
      <x:c r="F107" s="18" t="n">
        <x:v>10</x:v>
      </x:c>
      <x:c r="G107" s="17" t="n">
        <x:v>0.1262019455164526</x:v>
      </x:c>
      <x:c r="H107" s="11" t="n">
        <x:f>1/G107</x:f>
        <x:v>7.923808114904478</x:v>
      </x:c>
      <x:c r="I107" s="17" t="n">
        <x:v>7.7434795653807456</x:v>
      </x:c>
      <x:c r="J107" s="11" t="n">
        <x:f>I107/H107</x:f>
        <x:v>0.977242186217945</x:v>
      </x:c>
      <x:c r="K107" s="16" t="n">
        <x:f>COUNTIFS($J$8:$J$437,"&gt;"&amp;J107)+COUNTIFS($J$8:J107,J107)</x:f>
        <x:v>389</x:v>
      </x:c>
      <x:c r="L107" s="16" t="n">
        <x:f>IF(K107&lt;='Wyniki'!$B$6,1,0)</x:f>
        <x:v>0</x:v>
      </x:c>
      <x:c r="M107" s="17" t="n">
        <x:v>0.2512941239808965</x:v>
      </x:c>
      <x:c r="N107" s="18" t="n">
        <x:v>40</x:v>
      </x:c>
      <x:c r="O107" s="17" t="n">
        <x:v>0.26224644244559797</x:v>
      </x:c>
      <x:c r="P107" s="11" t="n">
        <x:f>1/O107</x:f>
        <x:v>3.8132071141725636</x:v>
      </x:c>
      <x:c r="Q107" s="17" t="n">
        <x:v>3.75634360261157</x:v>
      </x:c>
      <x:c r="R107" s="11" t="n">
        <x:f>Q107/P107</x:f>
        <x:v>0.9850877463881653</x:v>
      </x:c>
      <x:c r="S107" s="16" t="n">
        <x:f>COUNTIFS($R$8:$R$437,"&gt;"&amp;R107)+COUNTIFS($R$8:R107,R107)</x:f>
        <x:v>367</x:v>
      </x:c>
      <x:c r="T107" s="16" t="n">
        <x:f>IF(S107&lt;='Wyniki'!$B$6,1,0)</x:f>
        <x:v>0</x:v>
      </x:c>
    </x:row>
    <x:row r="108" ht="22" customHeight="1">
      <x:c r="A108" s="18" t="n">
        <x:v>101</x:v>
      </x:c>
      <x:c r="B108" s="17" t="n">
        <x:v>0.18566600183941348</x:v>
      </x:c>
      <x:c r="C108" s="17" t="n">
        <x:v>0.7741150237225443</x:v>
      </x:c>
      <x:c r="D108" s="18" t="n">
        <x:v>0</x:v>
      </x:c>
      <x:c r="E108" s="17" t="n">
        <x:v>0.13733478738232877</x:v>
      </x:c>
      <x:c r="F108" s="18" t="n">
        <x:v>10</x:v>
      </x:c>
      <x:c r="G108" s="17" t="n">
        <x:v>0.16836245930480442</x:v>
      </x:c>
      <x:c r="H108" s="11" t="n">
        <x:f>1/G108</x:f>
        <x:v>5.939566362532124</x:v>
      </x:c>
      <x:c r="I108" s="17" t="n">
        <x:v>5.941078781965245</x:v>
      </x:c>
      <x:c r="J108" s="11" t="n">
        <x:f>I108/H108</x:f>
        <x:v>1.0002546346552605</x:v>
      </x:c>
      <x:c r="K108" s="16" t="n">
        <x:f>COUNTIFS($J$8:$J$437,"&gt;"&amp;J108)+COUNTIFS($J$8:J108,J108)</x:f>
        <x:v>309</x:v>
      </x:c>
      <x:c r="L108" s="16" t="n">
        <x:f>IF(K108&lt;='Wyniki'!$B$6,1,0)</x:f>
        <x:v>0</x:v>
      </x:c>
      <x:c r="M108" s="17" t="n">
        <x:v>0.40949642548899967</x:v>
      </x:c>
      <x:c r="N108" s="18" t="n">
        <x:v>40</x:v>
      </x:c>
      <x:c r="O108" s="17" t="n">
        <x:v>0.4153639980859082</x:v>
      </x:c>
      <x:c r="P108" s="11" t="n">
        <x:f>1/O108</x:f>
        <x:v>2.407526903169816</x:v>
      </x:c>
      <x:c r="Q108" s="17" t="n">
        <x:v>2.62298924552264</x:v>
      </x:c>
      <x:c r="R108" s="11" t="n">
        <x:f>Q108/P108</x:f>
        <x:v>1.0894952999566236</x:v>
      </x:c>
      <x:c r="S108" s="16" t="n">
        <x:f>COUNTIFS($R$8:$R$437,"&gt;"&amp;R108)+COUNTIFS($R$8:R108,R108)</x:f>
        <x:v>159</x:v>
      </x:c>
      <x:c r="T108" s="16" t="n">
        <x:f>IF(S108&lt;='Wyniki'!$B$6,1,0)</x:f>
        <x:v>0</x:v>
      </x:c>
    </x:row>
    <x:row r="109" ht="22" customHeight="1">
      <x:c r="A109" s="18" t="n">
        <x:v>102</x:v>
      </x:c>
      <x:c r="B109" s="17" t="n">
        <x:v>0.04982169879596005</x:v>
      </x:c>
      <x:c r="C109" s="17" t="n">
        <x:v>0.35416633630227184</x:v>
      </x:c>
      <x:c r="D109" s="18" t="n">
        <x:v>0</x:v>
      </x:c>
      <x:c r="E109" s="17" t="n">
        <x:v>0.15786311297539107</x:v>
      </x:c>
      <x:c r="F109" s="18" t="n">
        <x:v>10</x:v>
      </x:c>
      <x:c r="G109" s="17" t="n">
        <x:v>0.14840641335337887</x:v>
      </x:c>
      <x:c r="H109" s="11" t="n">
        <x:f>1/G109</x:f>
        <x:v>6.738253269545998</x:v>
      </x:c>
      <x:c r="I109" s="17" t="n">
        <x:v>6.599697775592546</x:v>
      </x:c>
      <x:c r="J109" s="11" t="n">
        <x:f>I109/H109</x:f>
        <x:v>0.9794374760919623</x:v>
      </x:c>
      <x:c r="K109" s="16" t="n">
        <x:f>COUNTIFS($J$8:$J$437,"&gt;"&amp;J109)+COUNTIFS($J$8:J109,J109)</x:f>
        <x:v>380</x:v>
      </x:c>
      <x:c r="L109" s="16" t="n">
        <x:f>IF(K109&lt;='Wyniki'!$B$6,1,0)</x:f>
        <x:v>0</x:v>
      </x:c>
      <x:c r="M109" s="17" t="n">
        <x:v>0.28537222734928475</x:v>
      </x:c>
      <x:c r="N109" s="18" t="n">
        <x:v>40</x:v>
      </x:c>
      <x:c r="O109" s="17" t="n">
        <x:v>0.2772015677297991</x:v>
      </x:c>
      <x:c r="P109" s="11" t="n">
        <x:f>1/O109</x:f>
        <x:v>3.6074832050544</x:v>
      </x:c>
      <x:c r="Q109" s="17" t="n">
        <x:v>3.568680206246462</x:v>
      </x:c>
      <x:c r="R109" s="11" t="n">
        <x:f>Q109/P109</x:f>
        <x:v>0.9892437478978221</x:v>
      </x:c>
      <x:c r="S109" s="16" t="n">
        <x:f>COUNTIFS($R$8:$R$437,"&gt;"&amp;R109)+COUNTIFS($R$8:R109,R109)</x:f>
        <x:v>350</x:v>
      </x:c>
      <x:c r="T109" s="16" t="n">
        <x:f>IF(S109&lt;='Wyniki'!$B$6,1,0)</x:f>
        <x:v>0</x:v>
      </x:c>
    </x:row>
    <x:row r="110" ht="22" customHeight="1">
      <x:c r="A110" s="18" t="n">
        <x:v>103</x:v>
      </x:c>
      <x:c r="B110" s="17" t="n">
        <x:v>-1.1275946555670624</x:v>
      </x:c>
      <x:c r="C110" s="17" t="n">
        <x:v>-0.026795121061564873</x:v>
      </x:c>
      <x:c r="D110" s="18" t="n">
        <x:v>0</x:v>
      </x:c>
      <x:c r="E110" s="17" t="n">
        <x:v>0.2631636885135903</x:v>
      </x:c>
      <x:c r="F110" s="18" t="n">
        <x:v>10</x:v>
      </x:c>
      <x:c r="G110" s="17" t="n">
        <x:v>0.30142671622759243</x:v>
      </x:c>
      <x:c r="H110" s="11" t="n">
        <x:f>1/G110</x:f>
        <x:v>3.3175559635694314</x:v>
      </x:c>
      <x:c r="I110" s="17" t="n">
        <x:v>3.759152317628036</x:v>
      </x:c>
      <x:c r="J110" s="11" t="n">
        <x:f>I110/H110</x:f>
        <x:v>1.1331089389019624</x:v>
      </x:c>
      <x:c r="K110" s="16" t="n">
        <x:f>COUNTIFS($J$8:$J$437,"&gt;"&amp;J110)+COUNTIFS($J$8:J110,J110)</x:f>
        <x:v>93</x:v>
      </x:c>
      <x:c r="L110" s="16" t="n">
        <x:f>IF(K110&lt;='Wyniki'!$B$6,1,0)</x:f>
        <x:v>0</x:v>
      </x:c>
      <x:c r="M110" s="17" t="n">
        <x:v>0.5804867463246575</x:v>
      </x:c>
      <x:c r="N110" s="18" t="n">
        <x:v>40</x:v>
      </x:c>
      <x:c r="O110" s="17" t="n">
        <x:v>0.5415687280601184</x:v>
      </x:c>
      <x:c r="P110" s="11" t="n">
        <x:f>1/O110</x:f>
        <x:v>1.8464877091075174</x:v>
      </x:c>
      <x:c r="Q110" s="17" t="n">
        <x:v>2.292809607911786</x:v>
      </x:c>
      <x:c r="R110" s="11" t="n">
        <x:f>Q110/P110</x:f>
        <x:v>1.2417139830408046</x:v>
      </x:c>
      <x:c r="S110" s="16" t="n">
        <x:f>COUNTIFS($R$8:$R$437,"&gt;"&amp;R110)+COUNTIFS($R$8:R110,R110)</x:f>
        <x:v>101</x:v>
      </x:c>
      <x:c r="T110" s="16" t="n">
        <x:f>IF(S110&lt;='Wyniki'!$B$6,1,0)</x:f>
        <x:v>0</x:v>
      </x:c>
    </x:row>
    <x:row r="111" ht="22" customHeight="1">
      <x:c r="A111" s="18" t="n">
        <x:v>104</x:v>
      </x:c>
      <x:c r="B111" s="17" t="n">
        <x:v>-0.46377664866107915</x:v>
      </x:c>
      <x:c r="C111" s="17" t="n">
        <x:v>-0.6703471832329955</x:v>
      </x:c>
      <x:c r="D111" s="18" t="n">
        <x:v>0</x:v>
      </x:c>
      <x:c r="E111" s="17" t="n">
        <x:v>0.1888544521441036</x:v>
      </x:c>
      <x:c r="F111" s="18" t="n">
        <x:v>10</x:v>
      </x:c>
      <x:c r="G111" s="17" t="n">
        <x:v>0.17349271347772172</x:v>
      </x:c>
      <x:c r="H111" s="11" t="n">
        <x:f>1/G111</x:f>
        <x:v>5.7639308300311445</x:v>
      </x:c>
      <x:c r="I111" s="17" t="n">
        <x:v>5.808311154547813</x:v>
      </x:c>
      <x:c r="J111" s="11" t="n">
        <x:f>I111/H111</x:f>
        <x:v>1.0076996629254187</x:v>
      </x:c>
      <x:c r="K111" s="16" t="n">
        <x:f>COUNTIFS($J$8:$J$437,"&gt;"&amp;J111)+COUNTIFS($J$8:J111,J111)</x:f>
        <x:v>276</x:v>
      </x:c>
      <x:c r="L111" s="16" t="n">
        <x:f>IF(K111&lt;='Wyniki'!$B$6,1,0)</x:f>
        <x:v>0</x:v>
      </x:c>
      <x:c r="M111" s="17" t="n">
        <x:v>0.4178565105955963</x:v>
      </x:c>
      <x:c r="N111" s="18" t="n">
        <x:v>40</x:v>
      </x:c>
      <x:c r="O111" s="17" t="n">
        <x:v>0.38473882309343954</x:v>
      </x:c>
      <x:c r="P111" s="11" t="n">
        <x:f>1/O111</x:f>
        <x:v>2.5991658236089554</x:v>
      </x:c>
      <x:c r="Q111" s="17" t="n">
        <x:v>2.675271583134316</x:v>
      </x:c>
      <x:c r="R111" s="11" t="n">
        <x:f>Q111/P111</x:f>
        <x:v>1.0292808403504194</x:v>
      </x:c>
      <x:c r="S111" s="16" t="n">
        <x:f>COUNTIFS($R$8:$R$437,"&gt;"&amp;R111)+COUNTIFS($R$8:R111,R111)</x:f>
        <x:v>226</x:v>
      </x:c>
      <x:c r="T111" s="16" t="n">
        <x:f>IF(S111&lt;='Wyniki'!$B$6,1,0)</x:f>
        <x:v>0</x:v>
      </x:c>
    </x:row>
    <x:row r="112" ht="22" customHeight="1">
      <x:c r="A112" s="18" t="n">
        <x:v>105</x:v>
      </x:c>
      <x:c r="B112" s="17" t="n">
        <x:v>-0.48298380181081296</x:v>
      </x:c>
      <x:c r="C112" s="17" t="n">
        <x:v>-0.18376789238544666</x:v>
      </x:c>
      <x:c r="D112" s="18" t="n">
        <x:v>0</x:v>
      </x:c>
      <x:c r="E112" s="17" t="n">
        <x:v>0.14768379343839863</x:v>
      </x:c>
      <x:c r="F112" s="18" t="n">
        <x:v>10</x:v>
      </x:c>
      <x:c r="G112" s="17" t="n">
        <x:v>0.12960420521250515</x:v>
      </x:c>
      <x:c r="H112" s="11" t="n">
        <x:f>1/G112</x:f>
        <x:v>7.715799023344597</x:v>
      </x:c>
      <x:c r="I112" s="17" t="n">
        <x:v>7.26247034515292</x:v>
      </x:c>
      <x:c r="J112" s="11" t="n">
        <x:f>I112/H112</x:f>
        <x:v>0.9412466969629322</x:v>
      </x:c>
      <x:c r="K112" s="16" t="n">
        <x:f>COUNTIFS($J$8:$J$437,"&gt;"&amp;J112)+COUNTIFS($J$8:J112,J112)</x:f>
        <x:v>429</x:v>
      </x:c>
      <x:c r="L112" s="16" t="n">
        <x:f>IF(K112&lt;='Wyniki'!$B$6,1,0)</x:f>
        <x:v>0</x:v>
      </x:c>
      <x:c r="M112" s="17" t="n">
        <x:v>0.3318069828856295</x:v>
      </x:c>
      <x:c r="N112" s="18" t="n">
        <x:v>40</x:v>
      </x:c>
      <x:c r="O112" s="17" t="n">
        <x:v>0.3275298963702225</x:v>
      </x:c>
      <x:c r="P112" s="11" t="n">
        <x:f>1/O112</x:f>
        <x:v>3.0531564021552793</x:v>
      </x:c>
      <x:c r="Q112" s="17" t="n">
        <x:v>3.070225616534581</x:v>
      </x:c>
      <x:c r="R112" s="11" t="n">
        <x:f>Q112/P112</x:f>
        <x:v>1.0055906780167738</x:v>
      </x:c>
      <x:c r="S112" s="16" t="n">
        <x:f>COUNTIFS($R$8:$R$437,"&gt;"&amp;R112)+COUNTIFS($R$8:R112,R112)</x:f>
        <x:v>284</x:v>
      </x:c>
      <x:c r="T112" s="16" t="n">
        <x:f>IF(S112&lt;='Wyniki'!$B$6,1,0)</x:f>
        <x:v>0</x:v>
      </x:c>
    </x:row>
    <x:row r="113" ht="22" customHeight="1">
      <x:c r="A113" s="18" t="n">
        <x:v>106</x:v>
      </x:c>
      <x:c r="B113" s="17" t="n">
        <x:v>0.5037463982958073</x:v>
      </x:c>
      <x:c r="C113" s="17" t="n">
        <x:v>-0.7295159947567603</x:v>
      </x:c>
      <x:c r="D113" s="18" t="n">
        <x:v>0</x:v>
      </x:c>
      <x:c r="E113" s="17" t="n">
        <x:v>0.31044032038688224</x:v>
      </x:c>
      <x:c r="F113" s="18" t="n">
        <x:v>10</x:v>
      </x:c>
      <x:c r="G113" s="17" t="n">
        <x:v>0.2955976259887165</x:v>
      </x:c>
      <x:c r="H113" s="11" t="n">
        <x:f>1/G113</x:f>
        <x:v>3.3829771015758157</x:v>
      </x:c>
      <x:c r="I113" s="17" t="n">
        <x:v>3.5387520132335317</x:v>
      </x:c>
      <x:c r="J113" s="11" t="n">
        <x:f>I113/H113</x:f>
        <x:v>1.046046694074623</x:v>
      </x:c>
      <x:c r="K113" s="16" t="n">
        <x:f>COUNTIFS($J$8:$J$437,"&gt;"&amp;J113)+COUNTIFS($J$8:J113,J113)</x:f>
        <x:v>187</x:v>
      </x:c>
      <x:c r="L113" s="16" t="n">
        <x:f>IF(K113&lt;='Wyniki'!$B$6,1,0)</x:f>
        <x:v>0</x:v>
      </x:c>
      <x:c r="M113" s="17" t="n">
        <x:v>0.5156334678759351</x:v>
      </x:c>
      <x:c r="N113" s="18" t="n">
        <x:v>40</x:v>
      </x:c>
      <x:c r="O113" s="17" t="n">
        <x:v>0.4844966102048023</x:v>
      </x:c>
      <x:c r="P113" s="11" t="n">
        <x:f>1/O113</x:f>
        <x:v>2.063997928855041</x:v>
      </x:c>
      <x:c r="Q113" s="17" t="n">
        <x:v>2.54712885937377</x:v>
      </x:c>
      <x:c r="R113" s="11" t="n">
        <x:f>Q113/P113</x:f>
        <x:v>1.2340752981214163</x:v>
      </x:c>
      <x:c r="S113" s="16" t="n">
        <x:f>COUNTIFS($R$8:$R$437,"&gt;"&amp;R113)+COUNTIFS($R$8:R113,R113)</x:f>
        <x:v>102</x:v>
      </x:c>
      <x:c r="T113" s="16" t="n">
        <x:f>IF(S113&lt;='Wyniki'!$B$6,1,0)</x:f>
        <x:v>0</x:v>
      </x:c>
    </x:row>
    <x:row r="114" ht="22" customHeight="1">
      <x:c r="A114" s="18" t="n">
        <x:v>107</x:v>
      </x:c>
      <x:c r="B114" s="17" t="n">
        <x:v>0.016847320926929598</x:v>
      </x:c>
      <x:c r="C114" s="17" t="n">
        <x:v>-0.2662931883334682</x:v>
      </x:c>
      <x:c r="D114" s="18" t="n">
        <x:v>0</x:v>
      </x:c>
      <x:c r="E114" s="17" t="n">
        <x:v>0.15076180396091057</x:v>
      </x:c>
      <x:c r="F114" s="18" t="n">
        <x:v>10</x:v>
      </x:c>
      <x:c r="G114" s="17" t="n">
        <x:v>0.1354192881419277</x:v>
      </x:c>
      <x:c r="H114" s="11" t="n">
        <x:f>1/G114</x:f>
        <x:v>7.384472431666742</x:v>
      </x:c>
      <x:c r="I114" s="17" t="n">
        <x:v>7.2875375509487785</x:v>
      </x:c>
      <x:c r="J114" s="11" t="n">
        <x:f>I114/H114</x:f>
        <x:v>0.9868731474570507</x:v>
      </x:c>
      <x:c r="K114" s="16" t="n">
        <x:f>COUNTIFS($J$8:$J$437,"&gt;"&amp;J114)+COUNTIFS($J$8:J114,J114)</x:f>
        <x:v>359</x:v>
      </x:c>
      <x:c r="L114" s="16" t="n">
        <x:f>IF(K114&lt;='Wyniki'!$B$6,1,0)</x:f>
        <x:v>0</x:v>
      </x:c>
      <x:c r="M114" s="17" t="n">
        <x:v>0.2666275500886867</x:v>
      </x:c>
      <x:c r="N114" s="18" t="n">
        <x:v>40</x:v>
      </x:c>
      <x:c r="O114" s="17" t="n">
        <x:v>0.2775530255733377</x:v>
      </x:c>
      <x:c r="P114" s="11" t="n">
        <x:f>1/O114</x:f>
        <x:v>3.602915147238308</x:v>
      </x:c>
      <x:c r="Q114" s="17" t="n">
        <x:v>3.54617785003395</x:v>
      </x:c>
      <x:c r="R114" s="11" t="n">
        <x:f>Q114/P114</x:f>
        <x:v>0.9842523914980768</x:v>
      </x:c>
      <x:c r="S114" s="16" t="n">
        <x:f>COUNTIFS($R$8:$R$437,"&gt;"&amp;R114)+COUNTIFS($R$8:R114,R114)</x:f>
        <x:v>371</x:v>
      </x:c>
      <x:c r="T114" s="16" t="n">
        <x:f>IF(S114&lt;='Wyniki'!$B$6,1,0)</x:f>
        <x:v>0</x:v>
      </x:c>
    </x:row>
    <x:row r="115" ht="22" customHeight="1">
      <x:c r="A115" s="18" t="n">
        <x:v>108</x:v>
      </x:c>
      <x:c r="B115" s="17" t="n">
        <x:v>-0.18022020189907847</x:v>
      </x:c>
      <x:c r="C115" s="17" t="n">
        <x:v>0.5515168039175323</x:v>
      </x:c>
      <x:c r="D115" s="18" t="n">
        <x:v>0</x:v>
      </x:c>
      <x:c r="E115" s="17" t="n">
        <x:v>0.16540643214231307</x:v>
      </x:c>
      <x:c r="F115" s="18" t="n">
        <x:v>10</x:v>
      </x:c>
      <x:c r="G115" s="17" t="n">
        <x:v>0.17717889821549054</x:v>
      </x:c>
      <x:c r="H115" s="11" t="n">
        <x:f>1/G115</x:f>
        <x:v>5.644012972604495</x:v>
      </x:c>
      <x:c r="I115" s="17" t="n">
        <x:v>5.5632421739045546</x:v>
      </x:c>
      <x:c r="J115" s="11" t="n">
        <x:f>I115/H115</x:f>
        <x:v>0.9856891188783594</x:v>
      </x:c>
      <x:c r="K115" s="16" t="n">
        <x:f>COUNTIFS($J$8:$J$437,"&gt;"&amp;J115)+COUNTIFS($J$8:J115,J115)</x:f>
        <x:v>362</x:v>
      </x:c>
      <x:c r="L115" s="16" t="n">
        <x:f>IF(K115&lt;='Wyniki'!$B$6,1,0)</x:f>
        <x:v>0</x:v>
      </x:c>
      <x:c r="M115" s="17" t="n">
        <x:v>0.35389396684706714</x:v>
      </x:c>
      <x:c r="N115" s="18" t="n">
        <x:v>40</x:v>
      </x:c>
      <x:c r="O115" s="17" t="n">
        <x:v>0.3544725996770569</x:v>
      </x:c>
      <x:c r="P115" s="11" t="n">
        <x:f>1/O115</x:f>
        <x:v>2.821092521427756</x:v>
      </x:c>
      <x:c r="Q115" s="17" t="n">
        <x:v>2.9741149868060552</x:v>
      </x:c>
      <x:c r="R115" s="11" t="n">
        <x:f>Q115/P115</x:f>
        <x:v>1.0542422711116382</x:v>
      </x:c>
      <x:c r="S115" s="16" t="n">
        <x:f>COUNTIFS($R$8:$R$437,"&gt;"&amp;R115)+COUNTIFS($R$8:R115,R115)</x:f>
        <x:v>192</x:v>
      </x:c>
      <x:c r="T115" s="16" t="n">
        <x:f>IF(S115&lt;='Wyniki'!$B$6,1,0)</x:f>
        <x:v>0</x:v>
      </x:c>
    </x:row>
    <x:row r="116" ht="22" customHeight="1">
      <x:c r="A116" s="18" t="n">
        <x:v>109</x:v>
      </x:c>
      <x:c r="B116" s="17" t="n">
        <x:v>0.29596349035215935</x:v>
      </x:c>
      <x:c r="C116" s="17" t="n">
        <x:v>0.7355689590935091</x:v>
      </x:c>
      <x:c r="D116" s="18" t="n">
        <x:v>0</x:v>
      </x:c>
      <x:c r="E116" s="17" t="n">
        <x:v>0.18229083933901735</x:v>
      </x:c>
      <x:c r="F116" s="18" t="n">
        <x:v>10</x:v>
      </x:c>
      <x:c r="G116" s="17" t="n">
        <x:v>0.18251326258232078</x:v>
      </x:c>
      <x:c r="H116" s="11" t="n">
        <x:f>1/G116</x:f>
        <x:v>5.479053882722413</x:v>
      </x:c>
      <x:c r="I116" s="17" t="n">
        <x:v>5.683330205514023</x:v>
      </x:c>
      <x:c r="J116" s="11" t="n">
        <x:f>I116/H116</x:f>
        <x:v>1.0372831381410161</x:v>
      </x:c>
      <x:c r="K116" s="16" t="n">
        <x:f>COUNTIFS($J$8:$J$437,"&gt;"&amp;J116)+COUNTIFS($J$8:J116,J116)</x:f>
        <x:v>202</x:v>
      </x:c>
      <x:c r="L116" s="16" t="n">
        <x:f>IF(K116&lt;='Wyniki'!$B$6,1,0)</x:f>
        <x:v>0</x:v>
      </x:c>
      <x:c r="M116" s="17" t="n">
        <x:v>0.40255373726414323</x:v>
      </x:c>
      <x:c r="N116" s="18" t="n">
        <x:v>40</x:v>
      </x:c>
      <x:c r="O116" s="17" t="n">
        <x:v>0.40019544570788296</x:v>
      </x:c>
      <x:c r="P116" s="11" t="n">
        <x:f>1/O116</x:f>
        <x:v>2.4987790608940013</x:v>
      </x:c>
      <x:c r="Q116" s="17" t="n">
        <x:v>2.69639842450773</x:v>
      </x:c>
      <x:c r="R116" s="11" t="n">
        <x:f>Q116/P116</x:f>
        <x:v>1.0790863693019044</x:v>
      </x:c>
      <x:c r="S116" s="16" t="n">
        <x:f>COUNTIFS($R$8:$R$437,"&gt;"&amp;R116)+COUNTIFS($R$8:R116,R116)</x:f>
        <x:v>165</x:v>
      </x:c>
      <x:c r="T116" s="16" t="n">
        <x:f>IF(S116&lt;='Wyniki'!$B$6,1,0)</x:f>
        <x:v>0</x:v>
      </x:c>
    </x:row>
    <x:row r="117" ht="22" customHeight="1">
      <x:c r="A117" s="18" t="n">
        <x:v>110</x:v>
      </x:c>
      <x:c r="B117" s="17" t="n">
        <x:v>-0.08497812358744526</x:v>
      </x:c>
      <x:c r="C117" s="17" t="n">
        <x:v>-0.3827684364188867</x:v>
      </x:c>
      <x:c r="D117" s="18" t="n">
        <x:v>0</x:v>
      </x:c>
      <x:c r="E117" s="17" t="n">
        <x:v>0.1563753595076352</x:v>
      </x:c>
      <x:c r="F117" s="18" t="n">
        <x:v>10</x:v>
      </x:c>
      <x:c r="G117" s="17" t="n">
        <x:v>0.14831841438772653</x:v>
      </x:c>
      <x:c r="H117" s="11" t="n">
        <x:f>1/G117</x:f>
        <x:v>6.742251150189958</x:v>
      </x:c>
      <x:c r="I117" s="17" t="n">
        <x:v>6.958432262625456</x:v>
      </x:c>
      <x:c r="J117" s="11" t="n">
        <x:f>I117/H117</x:f>
        <x:v>1.032063639817008</x:v>
      </x:c>
      <x:c r="K117" s="16" t="n">
        <x:f>COUNTIFS($J$8:$J$437,"&gt;"&amp;J117)+COUNTIFS($J$8:J117,J117)</x:f>
        <x:v>211</x:v>
      </x:c>
      <x:c r="L117" s="16" t="n">
        <x:f>IF(K117&lt;='Wyniki'!$B$6,1,0)</x:f>
        <x:v>0</x:v>
      </x:c>
      <x:c r="M117" s="17" t="n">
        <x:v>0.29399892445667297</x:v>
      </x:c>
      <x:c r="N117" s="18" t="n">
        <x:v>40</x:v>
      </x:c>
      <x:c r="O117" s="17" t="n">
        <x:v>0.2967669746615854</x:v>
      </x:c>
      <x:c r="P117" s="11" t="n">
        <x:f>1/O117</x:f>
        <x:v>3.3696471824074687</x:v>
      </x:c>
      <x:c r="Q117" s="17" t="n">
        <x:v>3.316940065433285</x:v>
      </x:c>
      <x:c r="R117" s="11" t="n">
        <x:f>Q117/P117</x:f>
        <x:v>0.9843582683524371</x:v>
      </x:c>
      <x:c r="S117" s="16" t="n">
        <x:f>COUNTIFS($R$8:$R$437,"&gt;"&amp;R117)+COUNTIFS($R$8:R117,R117)</x:f>
        <x:v>370</x:v>
      </x:c>
      <x:c r="T117" s="16" t="n">
        <x:f>IF(S117&lt;='Wyniki'!$B$6,1,0)</x:f>
        <x:v>0</x:v>
      </x:c>
    </x:row>
    <x:row r="118" ht="22" customHeight="1">
      <x:c r="A118" s="18" t="n">
        <x:v>111</x:v>
      </x:c>
      <x:c r="B118" s="17" t="n">
        <x:v>-0.12312234928427475</x:v>
      </x:c>
      <x:c r="C118" s="17" t="n">
        <x:v>0.13337323519917188</x:v>
      </x:c>
      <x:c r="D118" s="18" t="n">
        <x:v>0</x:v>
      </x:c>
      <x:c r="E118" s="17" t="n">
        <x:v>0.08685969911556883</x:v>
      </x:c>
      <x:c r="F118" s="18" t="n">
        <x:v>10</x:v>
      </x:c>
      <x:c r="G118" s="17" t="n">
        <x:v>0.1049628931606043</x:v>
      </x:c>
      <x:c r="H118" s="11" t="n">
        <x:f>1/G118</x:f>
        <x:v>9.52717641338158</x:v>
      </x:c>
      <x:c r="I118" s="17" t="n">
        <x:v>9.49034713881512</x:v>
      </x:c>
      <x:c r="J118" s="11" t="n">
        <x:f>I118/H118</x:f>
        <x:v>0.996134292788498</x:v>
      </x:c>
      <x:c r="K118" s="16" t="n">
        <x:f>COUNTIFS($J$8:$J$437,"&gt;"&amp;J118)+COUNTIFS($J$8:J118,J118)</x:f>
        <x:v>326</x:v>
      </x:c>
      <x:c r="L118" s="16" t="n">
        <x:f>IF(K118&lt;='Wyniki'!$B$6,1,0)</x:f>
        <x:v>0</x:v>
      </x:c>
      <x:c r="M118" s="17" t="n">
        <x:v>0.25361673396658024</x:v>
      </x:c>
      <x:c r="N118" s="18" t="n">
        <x:v>40</x:v>
      </x:c>
      <x:c r="O118" s="17" t="n">
        <x:v>0.26010786687195236</x:v>
      </x:c>
      <x:c r="P118" s="11" t="n">
        <x:f>1/O118</x:f>
        <x:v>3.844558844090197</x:v>
      </x:c>
      <x:c r="Q118" s="17" t="n">
        <x:v>3.7421855695424915</x:v>
      </x:c>
      <x:c r="R118" s="11" t="n">
        <x:f>Q118/P118</x:f>
        <x:v>0.9733719059326996</x:v>
      </x:c>
      <x:c r="S118" s="16" t="n">
        <x:f>COUNTIFS($R$8:$R$437,"&gt;"&amp;R118)+COUNTIFS($R$8:R118,R118)</x:f>
        <x:v>416</x:v>
      </x:c>
      <x:c r="T118" s="16" t="n">
        <x:f>IF(S118&lt;='Wyniki'!$B$6,1,0)</x:f>
        <x:v>0</x:v>
      </x:c>
    </x:row>
    <x:row r="119" ht="22" customHeight="1">
      <x:c r="A119" s="18" t="n">
        <x:v>112</x:v>
      </x:c>
      <x:c r="B119" s="17" t="n">
        <x:v>0.09711534714954108</x:v>
      </x:c>
      <x:c r="C119" s="17" t="n">
        <x:v>-0.5964134397283516</x:v>
      </x:c>
      <x:c r="D119" s="18" t="n">
        <x:v>0</x:v>
      </x:c>
      <x:c r="E119" s="17" t="n">
        <x:v>0.14356499289113314</x:v>
      </x:c>
      <x:c r="F119" s="18" t="n">
        <x:v>10</x:v>
      </x:c>
      <x:c r="G119" s="17" t="n">
        <x:v>0.1614036870221011</x:v>
      </x:c>
      <x:c r="H119" s="11" t="n">
        <x:f>1/G119</x:f>
        <x:v>6.195645331590656</x:v>
      </x:c>
      <x:c r="I119" s="17" t="n">
        <x:v>6.343428063146651</x:v>
      </x:c>
      <x:c r="J119" s="11" t="n">
        <x:f>I119/H119</x:f>
        <x:v>1.023852677751335</x:v>
      </x:c>
      <x:c r="K119" s="16" t="n">
        <x:f>COUNTIFS($J$8:$J$437,"&gt;"&amp;J119)+COUNTIFS($J$8:J119,J119)</x:f>
        <x:v>233</x:v>
      </x:c>
      <x:c r="L119" s="16" t="n">
        <x:f>IF(K119&lt;='Wyniki'!$B$6,1,0)</x:f>
        <x:v>0</x:v>
      </x:c>
      <x:c r="M119" s="17" t="n">
        <x:v>0.34726269339371457</x:v>
      </x:c>
      <x:c r="N119" s="18" t="n">
        <x:v>40</x:v>
      </x:c>
      <x:c r="O119" s="17" t="n">
        <x:v>0.32398760963543305</x:v>
      </x:c>
      <x:c r="P119" s="11" t="n">
        <x:f>1/O119</x:f>
        <x:v>3.086537788050752</x:v>
      </x:c>
      <x:c r="Q119" s="17" t="n">
        <x:v>3.1154324984998873</x:v>
      </x:c>
      <x:c r="R119" s="11" t="n">
        <x:f>Q119/P119</x:f>
        <x:v>1.0093615281695234</x:v>
      </x:c>
      <x:c r="S119" s="16" t="n">
        <x:f>COUNTIFS($R$8:$R$437,"&gt;"&amp;R119)+COUNTIFS($R$8:R119,R119)</x:f>
        <x:v>272</x:v>
      </x:c>
      <x:c r="T119" s="16" t="n">
        <x:f>IF(S119&lt;='Wyniki'!$B$6,1,0)</x:f>
        <x:v>0</x:v>
      </x:c>
    </x:row>
    <x:row r="120" ht="22" customHeight="1">
      <x:c r="A120" s="18" t="n">
        <x:v>113</x:v>
      </x:c>
      <x:c r="B120" s="17" t="n">
        <x:v>0.049769379895330826</x:v>
      </x:c>
      <x:c r="C120" s="17" t="n">
        <x:v>0.12552558157639784</x:v>
      </x:c>
      <x:c r="D120" s="18" t="n">
        <x:v>0</x:v>
      </x:c>
      <x:c r="E120" s="17" t="n">
        <x:v>0.11930319406054375</x:v>
      </x:c>
      <x:c r="F120" s="18" t="n">
        <x:v>10</x:v>
      </x:c>
      <x:c r="G120" s="17" t="n">
        <x:v>0.11959611990821525</x:v>
      </x:c>
      <x:c r="H120" s="11" t="n">
        <x:f>1/G120</x:f>
        <x:v>8.361475278357323</x:v>
      </x:c>
      <x:c r="I120" s="17" t="n">
        <x:v>8.47443843552029</x:v>
      </x:c>
      <x:c r="J120" s="11" t="n">
        <x:f>I120/H120</x:f>
        <x:v>1.0135099552892726</x:v>
      </x:c>
      <x:c r="K120" s="16" t="n">
        <x:f>COUNTIFS($J$8:$J$437,"&gt;"&amp;J120)+COUNTIFS($J$8:J120,J120)</x:f>
        <x:v>257</x:v>
      </x:c>
      <x:c r="L120" s="16" t="n">
        <x:f>IF(K120&lt;='Wyniki'!$B$6,1,0)</x:f>
        <x:v>0</x:v>
      </x:c>
      <x:c r="M120" s="17" t="n">
        <x:v>0.2459407657202162</x:v>
      </x:c>
      <x:c r="N120" s="18" t="n">
        <x:v>40</x:v>
      </x:c>
      <x:c r="O120" s="17" t="n">
        <x:v>0.25363752894294106</x:v>
      </x:c>
      <x:c r="P120" s="11" t="n">
        <x:f>1/O120</x:f>
        <x:v>3.9426342157156187</x:v>
      </x:c>
      <x:c r="Q120" s="17" t="n">
        <x:v>3.8187301308469275</x:v>
      </x:c>
      <x:c r="R120" s="11" t="n">
        <x:f>Q120/P120</x:f>
        <x:v>0.9685732740879687</x:v>
      </x:c>
      <x:c r="S120" s="16" t="n">
        <x:f>COUNTIFS($R$8:$R$437,"&gt;"&amp;R120)+COUNTIFS($R$8:R120,R120)</x:f>
        <x:v>430</x:v>
      </x:c>
      <x:c r="T120" s="16" t="n">
        <x:f>IF(S120&lt;='Wyniki'!$B$6,1,0)</x:f>
        <x:v>0</x:v>
      </x:c>
    </x:row>
    <x:row r="121" ht="22" customHeight="1">
      <x:c r="A121" s="18" t="n">
        <x:v>114</x:v>
      </x:c>
      <x:c r="B121" s="17" t="n">
        <x:v>1.3846107206436564</x:v>
      </x:c>
      <x:c r="C121" s="17" t="n">
        <x:v>1.0322645362049188</x:v>
      </x:c>
      <x:c r="D121" s="18" t="n">
        <x:v>0</x:v>
      </x:c>
      <x:c r="E121" s="17" t="n">
        <x:v>0.8045876158474741</x:v>
      </x:c>
      <x:c r="F121" s="18" t="n">
        <x:v>10</x:v>
      </x:c>
      <x:c r="G121" s="17" t="n">
        <x:v>0.7211912350858763</x:v>
      </x:c>
      <x:c r="H121" s="11" t="n">
        <x:f>1/G121</x:f>
        <x:v>1.386594777293604</x:v>
      </x:c>
      <x:c r="I121" s="17" t="n">
        <x:v>2.3803723894824174</x:v>
      </x:c>
      <x:c r="J121" s="11" t="n">
        <x:f>I121/H121</x:f>
        <x:v>1.7167037035351433</x:v>
      </x:c>
      <x:c r="K121" s="16" t="n">
        <x:f>COUNTIFS($J$8:$J$437,"&gt;"&amp;J121)+COUNTIFS($J$8:J121,J121)</x:f>
        <x:v>11</x:v>
      </x:c>
      <x:c r="L121" s="16" t="n">
        <x:f>IF(K121&lt;='Wyniki'!$B$6,1,0)</x:f>
        <x:v>1</x:v>
      </x:c>
      <x:c r="M121" s="17" t="n">
        <x:v>1.1291549252579827</x:v>
      </x:c>
      <x:c r="N121" s="18" t="n">
        <x:v>40</x:v>
      </x:c>
      <x:c r="O121" s="17" t="n">
        <x:v>0.9693152025700982</x:v>
      </x:c>
      <x:c r="P121" s="11" t="n">
        <x:f>1/O121</x:f>
        <x:v>1.0316561602959928</x:v>
      </x:c>
      <x:c r="Q121" s="17" t="n">
        <x:v>2.2697948227411446</x:v>
      </x:c>
      <x:c r="R121" s="11" t="n">
        <x:f>Q121/P121</x:f>
        <x:v>2.200146628397893</x:v>
      </x:c>
      <x:c r="S121" s="16" t="n">
        <x:f>COUNTIFS($R$8:$R$437,"&gt;"&amp;R121)+COUNTIFS($R$8:R121,R121)</x:f>
        <x:v>2</x:v>
      </x:c>
      <x:c r="T121" s="16" t="n">
        <x:f>IF(S121&lt;='Wyniki'!$B$6,1,0)</x:f>
        <x:v>1</x:v>
      </x:c>
    </x:row>
    <x:row r="122" ht="22" customHeight="1">
      <x:c r="A122" s="18" t="n">
        <x:v>115</x:v>
      </x:c>
      <x:c r="B122" s="17" t="n">
        <x:v>-0.4692838428073511</x:v>
      </x:c>
      <x:c r="C122" s="17" t="n">
        <x:v>-0.15806084885204685</x:v>
      </x:c>
      <x:c r="D122" s="18" t="n">
        <x:v>0</x:v>
      </x:c>
      <x:c r="E122" s="17" t="n">
        <x:v>0.1466670771555017</x:v>
      </x:c>
      <x:c r="F122" s="18" t="n">
        <x:v>10</x:v>
      </x:c>
      <x:c r="G122" s="17" t="n">
        <x:v>0.12970504747171857</x:v>
      </x:c>
      <x:c r="H122" s="11" t="n">
        <x:f>1/G122</x:f>
        <x:v>7.70980019276462</x:v>
      </x:c>
      <x:c r="I122" s="17" t="n">
        <x:v>7.370754864840005</x:v>
      </x:c>
      <x:c r="J122" s="11" t="n">
        <x:f>I122/H122</x:f>
        <x:v>0.9560241096464734</x:v>
      </x:c>
      <x:c r="K122" s="16" t="n">
        <x:f>COUNTIFS($J$8:$J$437,"&gt;"&amp;J122)+COUNTIFS($J$8:J122,J122)</x:f>
        <x:v>414</x:v>
      </x:c>
      <x:c r="L122" s="16" t="n">
        <x:f>IF(K122&lt;='Wyniki'!$B$6,1,0)</x:f>
        <x:v>0</x:v>
      </x:c>
      <x:c r="M122" s="17" t="n">
        <x:v>0.3363743088088754</x:v>
      </x:c>
      <x:c r="N122" s="18" t="n">
        <x:v>40</x:v>
      </x:c>
      <x:c r="O122" s="17" t="n">
        <x:v>0.3229763717532053</x:v>
      </x:c>
      <x:c r="P122" s="11" t="n">
        <x:f>1/O122</x:f>
        <x:v>3.0962017269923576</x:v>
      </x:c>
      <x:c r="Q122" s="17" t="n">
        <x:v>3.105688838391421</x:v>
      </x:c>
      <x:c r="R122" s="11" t="n">
        <x:f>Q122/P122</x:f>
        <x:v>1.003064112818088</x:v>
      </x:c>
      <x:c r="S122" s="16" t="n">
        <x:f>COUNTIFS($R$8:$R$437,"&gt;"&amp;R122)+COUNTIFS($R$8:R122,R122)</x:f>
        <x:v>300</x:v>
      </x:c>
      <x:c r="T122" s="16" t="n">
        <x:f>IF(S122&lt;='Wyniki'!$B$6,1,0)</x:f>
        <x:v>0</x:v>
      </x:c>
    </x:row>
    <x:row r="123" ht="22" customHeight="1">
      <x:c r="A123" s="18" t="n">
        <x:v>116</x:v>
      </x:c>
      <x:c r="B123" s="17" t="n">
        <x:v>-0.8048931010103518</x:v>
      </x:c>
      <x:c r="C123" s="17" t="n">
        <x:v>-0.3248888576799176</x:v>
      </x:c>
      <x:c r="D123" s="18" t="n">
        <x:v>0</x:v>
      </x:c>
      <x:c r="E123" s="17" t="n">
        <x:v>0.20371426820560143</x:v>
      </x:c>
      <x:c r="F123" s="18" t="n">
        <x:v>10</x:v>
      </x:c>
      <x:c r="G123" s="17" t="n">
        <x:v>0.21792164466671568</x:v>
      </x:c>
      <x:c r="H123" s="11" t="n">
        <x:f>1/G123</x:f>
        <x:v>4.5888053090337895</x:v>
      </x:c>
      <x:c r="I123" s="17" t="n">
        <x:v>4.839523300787376</x:v>
      </x:c>
      <x:c r="J123" s="11" t="n">
        <x:f>I123/H123</x:f>
        <x:v>1.0546368771104777</x:v>
      </x:c>
      <x:c r="K123" s="16" t="n">
        <x:f>COUNTIFS($J$8:$J$437,"&gt;"&amp;J123)+COUNTIFS($J$8:J123,J123)</x:f>
        <x:v>170</x:v>
      </x:c>
      <x:c r="L123" s="16" t="n">
        <x:f>IF(K123&lt;='Wyniki'!$B$6,1,0)</x:f>
        <x:v>0</x:v>
      </x:c>
      <x:c r="M123" s="17" t="n">
        <x:v>0.4103026281056942</x:v>
      </x:c>
      <x:c r="N123" s="18" t="n">
        <x:v>40</x:v>
      </x:c>
      <x:c r="O123" s="17" t="n">
        <x:v>0.39918525064290467</x:v>
      </x:c>
      <x:c r="P123" s="11" t="n">
        <x:f>1/O123</x:f>
        <x:v>2.5051025767847332</x:v>
      </x:c>
      <x:c r="Q123" s="17" t="n">
        <x:v>2.616022742918355</x:v>
      </x:c>
      <x:c r="R123" s="11" t="n">
        <x:f>Q123/P123</x:f>
        <x:v>1.0442776943194023</x:v>
      </x:c>
      <x:c r="S123" s="16" t="n">
        <x:f>COUNTIFS($R$8:$R$437,"&gt;"&amp;R123)+COUNTIFS($R$8:R123,R123)</x:f>
        <x:v>206</x:v>
      </x:c>
      <x:c r="T123" s="16" t="n">
        <x:f>IF(S123&lt;='Wyniki'!$B$6,1,0)</x:f>
        <x:v>0</x:v>
      </x:c>
    </x:row>
    <x:row r="124" ht="22" customHeight="1">
      <x:c r="A124" s="18" t="n">
        <x:v>117</x:v>
      </x:c>
      <x:c r="B124" s="17" t="n">
        <x:v>0.17358275197468728</x:v>
      </x:c>
      <x:c r="C124" s="17" t="n">
        <x:v>0.6632194914885285</x:v>
      </x:c>
      <x:c r="D124" s="18" t="n">
        <x:v>0</x:v>
      </x:c>
      <x:c r="E124" s="17" t="n">
        <x:v>0.15952587978413554</x:v>
      </x:c>
      <x:c r="F124" s="18" t="n">
        <x:v>10</x:v>
      </x:c>
      <x:c r="G124" s="17" t="n">
        <x:v>0.15890009308366515</x:v>
      </x:c>
      <x:c r="H124" s="11" t="n">
        <x:f>1/G124</x:f>
        <x:v>6.2932625185655064</x:v>
      </x:c>
      <x:c r="I124" s="17" t="n">
        <x:v>5.966077900947672</x:v>
      </x:c>
      <x:c r="J124" s="11" t="n">
        <x:f>I124/H124</x:f>
        <x:v>0.9480103338049828</x:v>
      </x:c>
      <x:c r="K124" s="16" t="n">
        <x:f>COUNTIFS($J$8:$J$437,"&gt;"&amp;J124)+COUNTIFS($J$8:J124,J124)</x:f>
        <x:v>426</x:v>
      </x:c>
      <x:c r="L124" s="16" t="n">
        <x:f>IF(K124&lt;='Wyniki'!$B$6,1,0)</x:f>
        <x:v>0</x:v>
      </x:c>
      <x:c r="M124" s="17" t="n">
        <x:v>0.36818184357618766</x:v>
      </x:c>
      <x:c r="N124" s="18" t="n">
        <x:v>40</x:v>
      </x:c>
      <x:c r="O124" s="17" t="n">
        <x:v>0.36929577250616574</x:v>
      </x:c>
      <x:c r="P124" s="11" t="n">
        <x:f>1/O124</x:f>
        <x:v>2.7078566137209275</x:v>
      </x:c>
      <x:c r="Q124" s="17" t="n">
        <x:v>2.897966671605652</x:v>
      </x:c>
      <x:c r="R124" s="11" t="n">
        <x:f>Q124/P124</x:f>
        <x:v>1.0702068406877312</x:v>
      </x:c>
      <x:c r="S124" s="16" t="n">
        <x:f>COUNTIFS($R$8:$R$437,"&gt;"&amp;R124)+COUNTIFS($R$8:R124,R124)</x:f>
        <x:v>174</x:v>
      </x:c>
      <x:c r="T124" s="16" t="n">
        <x:f>IF(S124&lt;='Wyniki'!$B$6,1,0)</x:f>
        <x:v>0</x:v>
      </x:c>
    </x:row>
    <x:row r="125" ht="22" customHeight="1">
      <x:c r="A125" s="18" t="n">
        <x:v>118</x:v>
      </x:c>
      <x:c r="B125" s="17" t="n">
        <x:v>-0.4009961107589847</x:v>
      </x:c>
      <x:c r="C125" s="17" t="n">
        <x:v>-0.35978054203728815</x:v>
      </x:c>
      <x:c r="D125" s="18" t="n">
        <x:v>0</x:v>
      </x:c>
      <x:c r="E125" s="17" t="n">
        <x:v>0.18803723269316608</x:v>
      </x:c>
      <x:c r="F125" s="18" t="n">
        <x:v>10</x:v>
      </x:c>
      <x:c r="G125" s="17" t="n">
        <x:v>0.1743058091656735</x:v>
      </x:c>
      <x:c r="H125" s="11" t="n">
        <x:f>1/G125</x:f>
        <x:v>5.737043445577444</x:v>
      </x:c>
      <x:c r="I125" s="17" t="n">
        <x:v>6.161218707743587</x:v>
      </x:c>
      <x:c r="J125" s="11" t="n">
        <x:f>I125/H125</x:f>
        <x:v>1.0739362122999312</x:v>
      </x:c>
      <x:c r="K125" s="16" t="n">
        <x:f>COUNTIFS($J$8:$J$437,"&gt;"&amp;J125)+COUNTIFS($J$8:J125,J125)</x:f>
        <x:v>146</x:v>
      </x:c>
      <x:c r="L125" s="16" t="n">
        <x:f>IF(K125&lt;='Wyniki'!$B$6,1,0)</x:f>
        <x:v>0</x:v>
      </x:c>
      <x:c r="M125" s="17" t="n">
        <x:v>0.3168485988021085</x:v>
      </x:c>
      <x:c r="N125" s="18" t="n">
        <x:v>40</x:v>
      </x:c>
      <x:c r="O125" s="17" t="n">
        <x:v>0.33316320387033266</x:v>
      </x:c>
      <x:c r="P125" s="11" t="n">
        <x:f>1/O125</x:f>
        <x:v>3.0015319470549957</x:v>
      </x:c>
      <x:c r="Q125" s="17" t="n">
        <x:v>2.99400451660701</x:v>
      </x:c>
      <x:c r="R125" s="11" t="n">
        <x:f>Q125/P125</x:f>
        <x:v>0.9974921371550379</x:v>
      </x:c>
      <x:c r="S125" s="16" t="n">
        <x:f>COUNTIFS($R$8:$R$437,"&gt;"&amp;R125)+COUNTIFS($R$8:R125,R125)</x:f>
        <x:v>323</x:v>
      </x:c>
      <x:c r="T125" s="16" t="n">
        <x:f>IF(S125&lt;='Wyniki'!$B$6,1,0)</x:f>
        <x:v>0</x:v>
      </x:c>
    </x:row>
    <x:row r="126" ht="22" customHeight="1">
      <x:c r="A126" s="18" t="n">
        <x:v>119</x:v>
      </x:c>
      <x:c r="B126" s="17" t="n">
        <x:v>-1.1810089663562602</x:v>
      </x:c>
      <x:c r="C126" s="17" t="n">
        <x:v>-0.08946625629969922</x:v>
      </x:c>
      <x:c r="D126" s="18" t="n">
        <x:v>0</x:v>
      </x:c>
      <x:c r="E126" s="17" t="n">
        <x:v>0.3207363478778611</x:v>
      </x:c>
      <x:c r="F126" s="18" t="n">
        <x:v>10</x:v>
      </x:c>
      <x:c r="G126" s="17" t="n">
        <x:v>0.30952640596214487</x:v>
      </x:c>
      <x:c r="H126" s="11" t="n">
        <x:f>1/G126</x:f>
        <x:v>3.2307421297112215</x:v>
      </x:c>
      <x:c r="I126" s="17" t="n">
        <x:v>3.8324019702035677</x:v>
      </x:c>
      <x:c r="J126" s="11" t="n">
        <x:f>I126/H126</x:f>
        <x:v>1.1862296080393533</x:v>
      </x:c>
      <x:c r="K126" s="16" t="n">
        <x:f>COUNTIFS($J$8:$J$437,"&gt;"&amp;J126)+COUNTIFS($J$8:J126,J126)</x:f>
        <x:v>70</x:v>
      </x:c>
      <x:c r="L126" s="16" t="n">
        <x:f>IF(K126&lt;='Wyniki'!$B$6,1,0)</x:f>
        <x:v>0</x:v>
      </x:c>
      <x:c r="M126" s="17" t="n">
        <x:v>0.6298582474666985</x:v>
      </x:c>
      <x:c r="N126" s="18" t="n">
        <x:v>40</x:v>
      </x:c>
      <x:c r="O126" s="17" t="n">
        <x:v>0.5690478758903368</x:v>
      </x:c>
      <x:c r="P126" s="11" t="n">
        <x:f>1/O126</x:f>
        <x:v>1.7573213825557157</x:v>
      </x:c>
      <x:c r="Q126" s="17" t="n">
        <x:v>2.2145639422039407</x:v>
      </x:c>
      <x:c r="R126" s="11" t="n">
        <x:f>Q126/P126</x:f>
        <x:v>1.260192907334483</x:v>
      </x:c>
      <x:c r="S126" s="16" t="n">
        <x:f>COUNTIFS($R$8:$R$437,"&gt;"&amp;R126)+COUNTIFS($R$8:R126,R126)</x:f>
        <x:v>94</x:v>
      </x:c>
      <x:c r="T126" s="16" t="n">
        <x:f>IF(S126&lt;='Wyniki'!$B$6,1,0)</x:f>
        <x:v>0</x:v>
      </x:c>
    </x:row>
    <x:row r="127" ht="22" customHeight="1">
      <x:c r="A127" s="18" t="n">
        <x:v>120</x:v>
      </x:c>
      <x:c r="B127" s="17" t="n">
        <x:v>-0.5843279265227598</x:v>
      </x:c>
      <x:c r="C127" s="17" t="n">
        <x:v>-0.2911916850513406</x:v>
      </x:c>
      <x:c r="D127" s="18" t="n">
        <x:v>0</x:v>
      </x:c>
      <x:c r="E127" s="17" t="n">
        <x:v>0.1508762146706887</x:v>
      </x:c>
      <x:c r="F127" s="18" t="n">
        <x:v>10</x:v>
      </x:c>
      <x:c r="G127" s="17" t="n">
        <x:v>0.15896124807544026</x:v>
      </x:c>
      <x:c r="H127" s="11" t="n">
        <x:f>1/G127</x:f>
        <x:v>6.290841397555065</x:v>
      </x:c>
      <x:c r="I127" s="17" t="n">
        <x:v>6.621351979851798</x:v>
      </x:c>
      <x:c r="J127" s="11" t="n">
        <x:f>I127/H127</x:f>
        <x:v>1.052538374664029</x:v>
      </x:c>
      <x:c r="K127" s="16" t="n">
        <x:f>COUNTIFS($J$8:$J$437,"&gt;"&amp;J127)+COUNTIFS($J$8:J127,J127)</x:f>
        <x:v>174</x:v>
      </x:c>
      <x:c r="L127" s="16" t="n">
        <x:f>IF(K127&lt;='Wyniki'!$B$6,1,0)</x:f>
        <x:v>0</x:v>
      </x:c>
      <x:c r="M127" s="17" t="n">
        <x:v>0.34061580662966234</x:v>
      </x:c>
      <x:c r="N127" s="18" t="n">
        <x:v>40</x:v>
      </x:c>
      <x:c r="O127" s="17" t="n">
        <x:v>0.35788975560423747</x:v>
      </x:c>
      <x:c r="P127" s="11" t="n">
        <x:f>1/O127</x:f>
        <x:v>2.7941565365895036</x:v>
      </x:c>
      <x:c r="Q127" s="17" t="n">
        <x:v>2.807875522228516</x:v>
      </x:c>
      <x:c r="R127" s="11" t="n">
        <x:f>Q127/P127</x:f>
        <x:v>1.0049098844174842</x:v>
      </x:c>
      <x:c r="S127" s="16" t="n">
        <x:f>COUNTIFS($R$8:$R$437,"&gt;"&amp;R127)+COUNTIFS($R$8:R127,R127)</x:f>
        <x:v>289</x:v>
      </x:c>
      <x:c r="T127" s="16" t="n">
        <x:f>IF(S127&lt;='Wyniki'!$B$6,1,0)</x:f>
        <x:v>0</x:v>
      </x:c>
    </x:row>
    <x:row r="128" ht="22" customHeight="1">
      <x:c r="A128" s="18" t="n">
        <x:v>121</x:v>
      </x:c>
      <x:c r="B128" s="17" t="n">
        <x:v>-0.48227342799217354</x:v>
      </x:c>
      <x:c r="C128" s="17" t="n">
        <x:v>-0.05184440483890635</x:v>
      </x:c>
      <x:c r="D128" s="18" t="n">
        <x:v>0</x:v>
      </x:c>
      <x:c r="E128" s="17" t="n">
        <x:v>0.14050877964190253</x:v>
      </x:c>
      <x:c r="F128" s="18" t="n">
        <x:v>10</x:v>
      </x:c>
      <x:c r="G128" s="17" t="n">
        <x:v>0.13709835069544096</x:v>
      </x:c>
      <x:c r="H128" s="11" t="n">
        <x:f>1/G128</x:f>
        <x:v>7.29403377157661</x:v>
      </x:c>
      <x:c r="I128" s="17" t="n">
        <x:v>7.3080059923560565</x:v>
      </x:c>
      <x:c r="J128" s="11" t="n">
        <x:f>I128/H128</x:f>
        <x:v>1.0019155684244145</x:v>
      </x:c>
      <x:c r="K128" s="16" t="n">
        <x:f>COUNTIFS($J$8:$J$437,"&gt;"&amp;J128)+COUNTIFS($J$8:J128,J128)</x:f>
        <x:v>303</x:v>
      </x:c>
      <x:c r="L128" s="16" t="n">
        <x:f>IF(K128&lt;='Wyniki'!$B$6,1,0)</x:f>
        <x:v>0</x:v>
      </x:c>
      <x:c r="M128" s="17" t="n">
        <x:v>0.32161930530876304</x:v>
      </x:c>
      <x:c r="N128" s="18" t="n">
        <x:v>40</x:v>
      </x:c>
      <x:c r="O128" s="17" t="n">
        <x:v>0.32335721146092217</x:v>
      </x:c>
      <x:c r="P128" s="11" t="n">
        <x:f>1/O128</x:f>
        <x:v>3.0925551203327664</x:v>
      </x:c>
      <x:c r="Q128" s="17" t="n">
        <x:v>3.094105295485817</x:v>
      </x:c>
      <x:c r="R128" s="11" t="n">
        <x:f>Q128/P128</x:f>
        <x:v>1.0005012603147665</x:v>
      </x:c>
      <x:c r="S128" s="16" t="n">
        <x:f>COUNTIFS($R$8:$R$437,"&gt;"&amp;R128)+COUNTIFS($R$8:R128,R128)</x:f>
        <x:v>313</x:v>
      </x:c>
      <x:c r="T128" s="16" t="n">
        <x:f>IF(S128&lt;='Wyniki'!$B$6,1,0)</x:f>
        <x:v>0</x:v>
      </x:c>
    </x:row>
    <x:row r="129" ht="22" customHeight="1">
      <x:c r="A129" s="18" t="n">
        <x:v>122</x:v>
      </x:c>
      <x:c r="B129" s="17" t="n">
        <x:v>-0.9667506152461472</x:v>
      </x:c>
      <x:c r="C129" s="17" t="n">
        <x:v>-0.8068748849650449</x:v>
      </x:c>
      <x:c r="D129" s="18" t="n">
        <x:v>0</x:v>
      </x:c>
      <x:c r="E129" s="17" t="n">
        <x:v>0.35215490775382224</x:v>
      </x:c>
      <x:c r="F129" s="18" t="n">
        <x:v>10</x:v>
      </x:c>
      <x:c r="G129" s="17" t="n">
        <x:v>0.35592952324894395</x:v>
      </x:c>
      <x:c r="H129" s="11" t="n">
        <x:f>1/G129</x:f>
        <x:v>2.8095449651716047</x:v>
      </x:c>
      <x:c r="I129" s="17" t="n">
        <x:v>3.2393057182488683</x:v>
      </x:c>
      <x:c r="J129" s="11" t="n">
        <x:f>I129/H129</x:f>
        <x:v>1.1529645399538975</x:v>
      </x:c>
      <x:c r="K129" s="16" t="n">
        <x:f>COUNTIFS($J$8:$J$437,"&gt;"&amp;J129)+COUNTIFS($J$8:J129,J129)</x:f>
        <x:v>81</x:v>
      </x:c>
      <x:c r="L129" s="16" t="n">
        <x:f>IF(K129&lt;='Wyniki'!$B$6,1,0)</x:f>
        <x:v>0</x:v>
      </x:c>
      <x:c r="M129" s="17" t="n">
        <x:v>0.6398734465866882</x:v>
      </x:c>
      <x:c r="N129" s="18" t="n">
        <x:v>40</x:v>
      </x:c>
      <x:c r="O129" s="17" t="n">
        <x:v>0.6013828070545914</x:v>
      </x:c>
      <x:c r="P129" s="11" t="n">
        <x:f>1/O129</x:f>
        <x:v>1.6628343681751174</x:v>
      </x:c>
      <x:c r="Q129" s="17" t="n">
        <x:v>2.1879036914269596</x:v>
      </x:c>
      <x:c r="R129" s="11" t="n">
        <x:f>Q129/P129</x:f>
        <x:v>1.3157676635154474</x:v>
      </x:c>
      <x:c r="S129" s="16" t="n">
        <x:f>COUNTIFS($R$8:$R$437,"&gt;"&amp;R129)+COUNTIFS($R$8:R129,R129)</x:f>
        <x:v>79</x:v>
      </x:c>
      <x:c r="T129" s="16" t="n">
        <x:f>IF(S129&lt;='Wyniki'!$B$6,1,0)</x:f>
        <x:v>0</x:v>
      </x:c>
    </x:row>
    <x:row r="130" ht="22" customHeight="1">
      <x:c r="A130" s="18" t="n">
        <x:v>123</x:v>
      </x:c>
      <x:c r="B130" s="17" t="n">
        <x:v>1.171085911615564</x:v>
      </x:c>
      <x:c r="C130" s="17" t="n">
        <x:v>-0.7080824197007171</x:v>
      </x:c>
      <x:c r="D130" s="18" t="n">
        <x:v>0</x:v>
      </x:c>
      <x:c r="E130" s="17" t="n">
        <x:v>0.5400254744122052</x:v>
      </x:c>
      <x:c r="F130" s="18" t="n">
        <x:v>10</x:v>
      </x:c>
      <x:c r="G130" s="17" t="n">
        <x:v>0.49446557124102186</x:v>
      </x:c>
      <x:c r="H130" s="11" t="n">
        <x:f>1/G130</x:f>
        <x:v>2.0223854969116966</x:v>
      </x:c>
      <x:c r="I130" s="17" t="n">
        <x:v>2.5074397019065002</x:v>
      </x:c>
      <x:c r="J130" s="11" t="n">
        <x:f>I130/H130</x:f>
        <x:v>1.2398426045556152</x:v>
      </x:c>
      <x:c r="K130" s="16" t="n">
        <x:f>COUNTIFS($J$8:$J$437,"&gt;"&amp;J130)+COUNTIFS($J$8:J130,J130)</x:f>
        <x:v>55</x:v>
      </x:c>
      <x:c r="L130" s="16" t="n">
        <x:f>IF(K130&lt;='Wyniki'!$B$6,1,0)</x:f>
        <x:v>0</x:v>
      </x:c>
      <x:c r="M130" s="17" t="n">
        <x:v>0.8732312497048336</x:v>
      </x:c>
      <x:c r="N130" s="18" t="n">
        <x:v>40</x:v>
      </x:c>
      <x:c r="O130" s="17" t="n">
        <x:v>0.7488288933091709</x:v>
      </x:c>
      <x:c r="P130" s="11" t="n">
        <x:f>1/O130</x:f>
        <x:v>1.335418556809249</x:v>
      </x:c>
      <x:c r="Q130" s="17" t="n">
        <x:v>2.12854477468314</x:v>
      </x:c>
      <x:c r="R130" s="11" t="n">
        <x:f>Q130/P130</x:f>
        <x:v>1.5939158279849943</x:v>
      </x:c>
      <x:c r="S130" s="16" t="n">
        <x:f>COUNTIFS($R$8:$R$437,"&gt;"&amp;R130)+COUNTIFS($R$8:R130,R130)</x:f>
        <x:v>48</x:v>
      </x:c>
      <x:c r="T130" s="16" t="n">
        <x:f>IF(S130&lt;='Wyniki'!$B$6,1,0)</x:f>
        <x:v>0</x:v>
      </x:c>
    </x:row>
    <x:row r="131" ht="22" customHeight="1">
      <x:c r="A131" s="18" t="n">
        <x:v>124</x:v>
      </x:c>
      <x:c r="B131" s="17" t="n">
        <x:v>-0.6032320681500518</x:v>
      </x:c>
      <x:c r="C131" s="17" t="n">
        <x:v>1.010302440576723</x:v>
      </x:c>
      <x:c r="D131" s="18" t="n">
        <x:v>0</x:v>
      </x:c>
      <x:c r="E131" s="17" t="n">
        <x:v>0.4876859400318821</x:v>
      </x:c>
      <x:c r="F131" s="18" t="n">
        <x:v>10</x:v>
      </x:c>
      <x:c r="G131" s="17" t="n">
        <x:v>0.4547329634017889</x:v>
      </x:c>
      <x:c r="H131" s="11" t="n">
        <x:f>1/G131</x:f>
        <x:v>2.1990928313600806</x:v>
      </x:c>
      <x:c r="I131" s="17" t="n">
        <x:v>3.359503505338337</x:v>
      </x:c>
      <x:c r="J131" s="11" t="n">
        <x:f>I131/H131</x:f>
        <x:v>1.5276769845411997</x:v>
      </x:c>
      <x:c r="K131" s="16" t="n">
        <x:f>COUNTIFS($J$8:$J$437,"&gt;"&amp;J131)+COUNTIFS($J$8:J131,J131)</x:f>
        <x:v>20</x:v>
      </x:c>
      <x:c r="L131" s="16" t="n">
        <x:f>IF(K131&lt;='Wyniki'!$B$6,1,0)</x:f>
        <x:v>1</x:v>
      </x:c>
      <x:c r="M131" s="17" t="n">
        <x:v>0.7444636615452869</x:v>
      </x:c>
      <x:c r="N131" s="18" t="n">
        <x:v>40</x:v>
      </x:c>
      <x:c r="O131" s="17" t="n">
        <x:v>0.6378194996126183</x:v>
      </x:c>
      <x:c r="P131" s="11" t="n">
        <x:f>1/O131</x:f>
        <x:v>1.5678416865701867</x:v>
      </x:c>
      <x:c r="Q131" s="17" t="n">
        <x:v>2.423836973773907</x:v>
      </x:c>
      <x:c r="R131" s="11" t="n">
        <x:f>Q131/P131</x:f>
        <x:v>1.5459704857550363</x:v>
      </x:c>
      <x:c r="S131" s="16" t="n">
        <x:f>COUNTIFS($R$8:$R$437,"&gt;"&amp;R131)+COUNTIFS($R$8:R131,R131)</x:f>
        <x:v>52</x:v>
      </x:c>
      <x:c r="T131" s="16" t="n">
        <x:f>IF(S131&lt;='Wyniki'!$B$6,1,0)</x:f>
        <x:v>0</x:v>
      </x:c>
    </x:row>
    <x:row r="132" ht="22" customHeight="1">
      <x:c r="A132" s="18" t="n">
        <x:v>125</x:v>
      </x:c>
      <x:c r="B132" s="17" t="n">
        <x:v>1.5977869430822238</x:v>
      </x:c>
      <x:c r="C132" s="17" t="n">
        <x:v>-0.644361645853938</x:v>
      </x:c>
      <x:c r="D132" s="18" t="n">
        <x:v>0</x:v>
      </x:c>
      <x:c r="E132" s="17" t="n">
        <x:v>0.816100730254044</x:v>
      </x:c>
      <x:c r="F132" s="18" t="n">
        <x:v>10</x:v>
      </x:c>
      <x:c r="G132" s="17" t="n">
        <x:v>0.6677640031100177</x:v>
      </x:c>
      <x:c r="H132" s="11" t="n">
        <x:f>1/G132</x:f>
        <x:v>1.4975350503211307</x:v>
      </x:c>
      <x:c r="I132" s="17" t="n">
        <x:v>2.708396000093819</x:v>
      </x:c>
      <x:c r="J132" s="11" t="n">
        <x:f>I132/H132</x:f>
        <x:v>1.8085693550298085</x:v>
      </x:c>
      <x:c r="K132" s="16" t="n">
        <x:f>COUNTIFS($J$8:$J$437,"&gt;"&amp;J132)+COUNTIFS($J$8:J132,J132)</x:f>
        <x:v>6</x:v>
      </x:c>
      <x:c r="L132" s="16" t="n">
        <x:f>IF(K132&lt;='Wyniki'!$B$6,1,0)</x:f>
        <x:v>1</x:v>
      </x:c>
      <x:c r="M132" s="17" t="n">
        <x:v>1.1656561635417801</x:v>
      </x:c>
      <x:c r="N132" s="18" t="n">
        <x:v>40</x:v>
      </x:c>
      <x:c r="O132" s="17" t="n">
        <x:v>0.9655383899732939</x:v>
      </x:c>
      <x:c r="P132" s="11" t="n">
        <x:f>1/O132</x:f>
        <x:v>1.0356916000281038</x:v>
      </x:c>
      <x:c r="Q132" s="17" t="n">
        <x:v>2.0808636826247717</x:v>
      </x:c>
      <x:c r="R132" s="11" t="n">
        <x:f>Q132/P132</x:f>
        <x:v>2.009153769875421</x:v>
      </x:c>
      <x:c r="S132" s="16" t="n">
        <x:f>COUNTIFS($R$8:$R$437,"&gt;"&amp;R132)+COUNTIFS($R$8:R132,R132)</x:f>
        <x:v>11</x:v>
      </x:c>
      <x:c r="T132" s="16" t="n">
        <x:f>IF(S132&lt;='Wyniki'!$B$6,1,0)</x:f>
        <x:v>1</x:v>
      </x:c>
    </x:row>
    <x:row r="133" ht="22" customHeight="1">
      <x:c r="A133" s="18" t="n">
        <x:v>126</x:v>
      </x:c>
      <x:c r="B133" s="17" t="n">
        <x:v>-0.20253692623341682</x:v>
      </x:c>
      <x:c r="C133" s="17" t="n">
        <x:v>0.18785555301728027</x:v>
      </x:c>
      <x:c r="D133" s="18" t="n">
        <x:v>0</x:v>
      </x:c>
      <x:c r="E133" s="17" t="n">
        <x:v>0.11602895075109124</x:v>
      </x:c>
      <x:c r="F133" s="18" t="n">
        <x:v>10</x:v>
      </x:c>
      <x:c r="G133" s="17" t="n">
        <x:v>0.11699700669976647</x:v>
      </x:c>
      <x:c r="H133" s="11" t="n">
        <x:f>1/G133</x:f>
        <x:v>8.547227217241243</x:v>
      </x:c>
      <x:c r="I133" s="17" t="n">
        <x:v>8.83169728500214</x:v>
      </x:c>
      <x:c r="J133" s="11" t="n">
        <x:f>I133/H133</x:f>
        <x:v>1.0332821464237045</x:v>
      </x:c>
      <x:c r="K133" s="16" t="n">
        <x:f>COUNTIFS($J$8:$J$437,"&gt;"&amp;J133)+COUNTIFS($J$8:J133,J133)</x:f>
        <x:v>210</x:v>
      </x:c>
      <x:c r="L133" s="16" t="n">
        <x:f>IF(K133&lt;='Wyniki'!$B$6,1,0)</x:f>
        <x:v>0</x:v>
      </x:c>
      <x:c r="M133" s="17" t="n">
        <x:v>0.27228688419300007</x:v>
      </x:c>
      <x:c r="N133" s="18" t="n">
        <x:v>40</x:v>
      </x:c>
      <x:c r="O133" s="17" t="n">
        <x:v>0.2726632588363723</x:v>
      </x:c>
      <x:c r="P133" s="11" t="n">
        <x:f>1/O133</x:f>
        <x:v>3.667527499919265</x:v>
      </x:c>
      <x:c r="Q133" s="17" t="n">
        <x:v>3.604314190285888</x:v>
      </x:c>
      <x:c r="R133" s="11" t="n">
        <x:f>Q133/P133</x:f>
        <x:v>0.9827640529935308</x:v>
      </x:c>
      <x:c r="S133" s="16" t="n">
        <x:f>COUNTIFS($R$8:$R$437,"&gt;"&amp;R133)+COUNTIFS($R$8:R133,R133)</x:f>
        <x:v>376</x:v>
      </x:c>
      <x:c r="T133" s="16" t="n">
        <x:f>IF(S133&lt;='Wyniki'!$B$6,1,0)</x:f>
        <x:v>0</x:v>
      </x:c>
    </x:row>
    <x:row r="134" ht="22" customHeight="1">
      <x:c r="A134" s="18" t="n">
        <x:v>127</x:v>
      </x:c>
      <x:c r="B134" s="17" t="n">
        <x:v>0.9507837044230759</x:v>
      </x:c>
      <x:c r="C134" s="17" t="n">
        <x:v>-0.5427713931355307</x:v>
      </x:c>
      <x:c r="D134" s="18" t="n">
        <x:v>0</x:v>
      </x:c>
      <x:c r="E134" s="17" t="n">
        <x:v>0.36657611372677223</x:v>
      </x:c>
      <x:c r="F134" s="18" t="n">
        <x:v>10</x:v>
      </x:c>
      <x:c r="G134" s="17" t="n">
        <x:v>0.37837789728280324</x:v>
      </x:c>
      <x:c r="H134" s="11" t="n">
        <x:f>1/G134</x:f>
        <x:v>2.6428605031667334</x:v>
      </x:c>
      <x:c r="I134" s="17" t="n">
        <x:v>3.347417641650563</x:v>
      </x:c>
      <x:c r="J134" s="11" t="n">
        <x:f>I134/H134</x:f>
        <x:v>1.2665888485751002</x:v>
      </x:c>
      <x:c r="K134" s="16" t="n">
        <x:f>COUNTIFS($J$8:$J$437,"&gt;"&amp;J134)+COUNTIFS($J$8:J134,J134)</x:f>
        <x:v>47</x:v>
      </x:c>
      <x:c r="L134" s="16" t="n">
        <x:f>IF(K134&lt;='Wyniki'!$B$6,1,0)</x:f>
        <x:v>0</x:v>
      </x:c>
      <x:c r="M134" s="17" t="n">
        <x:v>0.6772705957696372</x:v>
      </x:c>
      <x:c r="N134" s="18" t="n">
        <x:v>40</x:v>
      </x:c>
      <x:c r="O134" s="17" t="n">
        <x:v>0.5983509766383169</x:v>
      </x:c>
      <x:c r="P134" s="11" t="n">
        <x:f>1/O134</x:f>
        <x:v>1.6712599110613073</x:v>
      </x:c>
      <x:c r="Q134" s="17" t="n">
        <x:v>2.2532436524900143</x:v>
      </x:c>
      <x:c r="R134" s="11" t="n">
        <x:f>Q134/P134</x:f>
        <x:v>1.3482305400714887</x:v>
      </x:c>
      <x:c r="S134" s="16" t="n">
        <x:f>COUNTIFS($R$8:$R$437,"&gt;"&amp;R134)+COUNTIFS($R$8:R134,R134)</x:f>
        <x:v>72</x:v>
      </x:c>
      <x:c r="T134" s="16" t="n">
        <x:f>IF(S134&lt;='Wyniki'!$B$6,1,0)</x:f>
        <x:v>0</x:v>
      </x:c>
    </x:row>
    <x:row r="135" ht="22" customHeight="1">
      <x:c r="A135" s="18" t="n">
        <x:v>128</x:v>
      </x:c>
      <x:c r="B135" s="17" t="n">
        <x:v>-0.13490281526816036</x:v>
      </x:c>
      <x:c r="C135" s="17" t="n">
        <x:v>0.42753566683395927</x:v>
      </x:c>
      <x:c r="D135" s="18" t="n">
        <x:v>0</x:v>
      </x:c>
      <x:c r="E135" s="17" t="n">
        <x:v>0.19876167829562472</x:v>
      </x:c>
      <x:c r="F135" s="18" t="n">
        <x:v>10</x:v>
      </x:c>
      <x:c r="G135" s="17" t="n">
        <x:v>0.17442905753368385</x:v>
      </x:c>
      <x:c r="H135" s="11" t="n">
        <x:f>1/G135</x:f>
        <x:v>5.73298975606109</x:v>
      </x:c>
      <x:c r="I135" s="17" t="n">
        <x:v>6.188760254570943</x:v>
      </x:c>
      <x:c r="J135" s="11" t="n">
        <x:f>I135/H135</x:f>
        <x:v>1.079499618506731</x:v>
      </x:c>
      <x:c r="K135" s="16" t="n">
        <x:f>COUNTIFS($J$8:$J$437,"&gt;"&amp;J135)+COUNTIFS($J$8:J135,J135)</x:f>
        <x:v>140</x:v>
      </x:c>
      <x:c r="L135" s="16" t="n">
        <x:f>IF(K135&lt;='Wyniki'!$B$6,1,0)</x:f>
        <x:v>0</x:v>
      </x:c>
      <x:c r="M135" s="17" t="n">
        <x:v>0.2961985010057947</x:v>
      </x:c>
      <x:c r="N135" s="18" t="n">
        <x:v>40</x:v>
      </x:c>
      <x:c r="O135" s="17" t="n">
        <x:v>0.30683811717068055</x:v>
      </x:c>
      <x:c r="P135" s="11" t="n">
        <x:f>1/O135</x:f>
        <x:v>3.259047504335141</x:v>
      </x:c>
      <x:c r="Q135" s="17" t="n">
        <x:v>3.309409743293673</x:v>
      </x:c>
      <x:c r="R135" s="11" t="n">
        <x:f>Q135/P135</x:f>
        <x:v>1.0154530545785359</x:v>
      </x:c>
      <x:c r="S135" s="16" t="n">
        <x:f>COUNTIFS($R$8:$R$437,"&gt;"&amp;R135)+COUNTIFS($R$8:R135,R135)</x:f>
        <x:v>251</x:v>
      </x:c>
      <x:c r="T135" s="16" t="n">
        <x:f>IF(S135&lt;='Wyniki'!$B$6,1,0)</x:f>
        <x:v>0</x:v>
      </x:c>
    </x:row>
    <x:row r="136" ht="22" customHeight="1">
      <x:c r="A136" s="18" t="n">
        <x:v>129</x:v>
      </x:c>
      <x:c r="B136" s="17" t="n">
        <x:v>0.23912134095664025</x:v>
      </x:c>
      <x:c r="C136" s="17" t="n">
        <x:v>-0.20688583917655462</x:v>
      </x:c>
      <x:c r="D136" s="18" t="n">
        <x:v>0</x:v>
      </x:c>
      <x:c r="E136" s="17" t="n">
        <x:v>0.11931140040929024</x:v>
      </x:c>
      <x:c r="F136" s="18" t="n">
        <x:v>10</x:v>
      </x:c>
      <x:c r="G136" s="17" t="n">
        <x:v>0.13267818760137154</x:v>
      </x:c>
      <x:c r="H136" s="11" t="n">
        <x:f>1/G136</x:f>
        <x:v>7.537033917017892</x:v>
      </x:c>
      <x:c r="I136" s="17" t="n">
        <x:v>7.481854172389852</x:v>
      </x:c>
      <x:c r="J136" s="11" t="n">
        <x:f>I136/H136</x:f>
        <x:v>0.9926788514904451</x:v>
      </x:c>
      <x:c r="K136" s="16" t="n">
        <x:f>COUNTIFS($J$8:$J$437,"&gt;"&amp;J136)+COUNTIFS($J$8:J136,J136)</x:f>
        <x:v>339</x:v>
      </x:c>
      <x:c r="L136" s="16" t="n">
        <x:f>IF(K136&lt;='Wyniki'!$B$6,1,0)</x:f>
        <x:v>0</x:v>
      </x:c>
      <x:c r="M136" s="17" t="n">
        <x:v>0.2687689268296534</x:v>
      </x:c>
      <x:c r="N136" s="18" t="n">
        <x:v>40</x:v>
      </x:c>
      <x:c r="O136" s="17" t="n">
        <x:v>0.28244178125989694</x:v>
      </x:c>
      <x:c r="P136" s="11" t="n">
        <x:f>1/O136</x:f>
        <x:v>3.540552660230609</x:v>
      </x:c>
      <x:c r="Q136" s="17" t="n">
        <x:v>3.512993207163767</x:v>
      </x:c>
      <x:c r="R136" s="11" t="n">
        <x:f>Q136/P136</x:f>
        <x:v>0.9922160589852526</x:v>
      </x:c>
      <x:c r="S136" s="16" t="n">
        <x:f>COUNTIFS($R$8:$R$437,"&gt;"&amp;R136)+COUNTIFS($R$8:R136,R136)</x:f>
        <x:v>337</x:v>
      </x:c>
      <x:c r="T136" s="16" t="n">
        <x:f>IF(S136&lt;='Wyniki'!$B$6,1,0)</x:f>
        <x:v>0</x:v>
      </x:c>
    </x:row>
    <x:row r="137" ht="22" customHeight="1">
      <x:c r="A137" s="18" t="n">
        <x:v>130</x:v>
      </x:c>
      <x:c r="B137" s="17" t="n">
        <x:v>-0.07360263048382264</x:v>
      </x:c>
      <x:c r="C137" s="17" t="n">
        <x:v>-0.75619269460349</x:v>
      </x:c>
      <x:c r="D137" s="18" t="n">
        <x:v>0</x:v>
      </x:c>
      <x:c r="E137" s="17" t="n">
        <x:v>0.1870815126717334</x:v>
      </x:c>
      <x:c r="F137" s="18" t="n">
        <x:v>10</x:v>
      </x:c>
      <x:c r="G137" s="17" t="n">
        <x:v>0.18912719659081315</x:v>
      </x:c>
      <x:c r="H137" s="11" t="n">
        <x:f>1/G137</x:f>
        <x:v>5.287446850722129</x:v>
      </x:c>
      <x:c r="I137" s="17" t="n">
        <x:v>5.645972075627552</x:v>
      </x:c>
      <x:c r="J137" s="11" t="n">
        <x:f>I137/H137</x:f>
        <x:v>1.0678068706934534</x:v>
      </x:c>
      <x:c r="K137" s="16" t="n">
        <x:f>COUNTIFS($J$8:$J$437,"&gt;"&amp;J137)+COUNTIFS($J$8:J137,J137)</x:f>
        <x:v>151</x:v>
      </x:c>
      <x:c r="L137" s="16" t="n">
        <x:f>IF(K137&lt;='Wyniki'!$B$6,1,0)</x:f>
        <x:v>0</x:v>
      </x:c>
      <x:c r="M137" s="17" t="n">
        <x:v>0.36886770614727704</x:v>
      </x:c>
      <x:c r="N137" s="18" t="n">
        <x:v>40</x:v>
      </x:c>
      <x:c r="O137" s="17" t="n">
        <x:v>0.3864303808564725</x:v>
      </x:c>
      <x:c r="P137" s="11" t="n">
        <x:f>1/O137</x:f>
        <x:v>2.5877882525272224</x:v>
      </x:c>
      <x:c r="Q137" s="17" t="n">
        <x:v>2.7408111492111793</x:v>
      </x:c>
      <x:c r="R137" s="11" t="n">
        <x:f>Q137/P137</x:f>
        <x:v>1.059132696245342</x:v>
      </x:c>
      <x:c r="S137" s="16" t="n">
        <x:f>COUNTIFS($R$8:$R$437,"&gt;"&amp;R137)+COUNTIFS($R$8:R137,R137)</x:f>
        <x:v>186</x:v>
      </x:c>
      <x:c r="T137" s="16" t="n">
        <x:f>IF(S137&lt;='Wyniki'!$B$6,1,0)</x:f>
        <x:v>0</x:v>
      </x:c>
    </x:row>
    <x:row r="138" ht="22" customHeight="1">
      <x:c r="A138" s="18" t="n">
        <x:v>131</x:v>
      </x:c>
      <x:c r="B138" s="17" t="n">
        <x:v>-0.1309955591860659</x:v>
      </x:c>
      <x:c r="C138" s="17" t="n">
        <x:v>-0.14651311950492532</x:v>
      </x:c>
      <x:c r="D138" s="18" t="n">
        <x:v>0</x:v>
      </x:c>
      <x:c r="E138" s="17" t="n">
        <x:v>0.13194810481261207</x:v>
      </x:c>
      <x:c r="F138" s="18" t="n">
        <x:v>10</x:v>
      </x:c>
      <x:c r="G138" s="17" t="n">
        <x:v>0.13798201318147446</x:v>
      </x:c>
      <x:c r="H138" s="11" t="n">
        <x:f>1/G138</x:f>
        <x:v>7.247321422139248</x:v>
      </x:c>
      <x:c r="I138" s="17" t="n">
        <x:v>7.0878268249811995</x:v>
      </x:c>
      <x:c r="J138" s="11" t="n">
        <x:f>I138/H138</x:f>
        <x:v>0.9779926143925641</x:v>
      </x:c>
      <x:c r="K138" s="16" t="n">
        <x:f>COUNTIFS($J$8:$J$437,"&gt;"&amp;J138)+COUNTIFS($J$8:J138,J138)</x:f>
        <x:v>385</x:v>
      </x:c>
      <x:c r="L138" s="16" t="n">
        <x:f>IF(K138&lt;='Wyniki'!$B$6,1,0)</x:f>
        <x:v>0</x:v>
      </x:c>
      <x:c r="M138" s="17" t="n">
        <x:v>0.2892387536502734</x:v>
      </x:c>
      <x:c r="N138" s="18" t="n">
        <x:v>40</x:v>
      </x:c>
      <x:c r="O138" s="17" t="n">
        <x:v>0.2722898235911968</x:v>
      </x:c>
      <x:c r="P138" s="11" t="n">
        <x:f>1/O138</x:f>
        <x:v>3.6725573758546086</x:v>
      </x:c>
      <x:c r="Q138" s="17" t="n">
        <x:v>3.6501944275797187</x:v>
      </x:c>
      <x:c r="R138" s="11" t="n">
        <x:f>Q138/P138</x:f>
        <x:v>0.9939107967592512</x:v>
      </x:c>
      <x:c r="S138" s="16" t="n">
        <x:f>COUNTIFS($R$8:$R$437,"&gt;"&amp;R138)+COUNTIFS($R$8:R138,R138)</x:f>
        <x:v>334</x:v>
      </x:c>
      <x:c r="T138" s="16" t="n">
        <x:f>IF(S138&lt;='Wyniki'!$B$6,1,0)</x:f>
        <x:v>0</x:v>
      </x:c>
    </x:row>
    <x:row r="139" ht="22" customHeight="1">
      <x:c r="A139" s="18" t="n">
        <x:v>132</x:v>
      </x:c>
      <x:c r="B139" s="17" t="n">
        <x:v>0.1276934392944408</x:v>
      </x:c>
      <x:c r="C139" s="17" t="n">
        <x:v>-0.3054299703504588</x:v>
      </x:c>
      <x:c r="D139" s="18" t="n">
        <x:v>0</x:v>
      </x:c>
      <x:c r="E139" s="17" t="n">
        <x:v>0.13673983361110043</x:v>
      </x:c>
      <x:c r="F139" s="18" t="n">
        <x:v>10</x:v>
      </x:c>
      <x:c r="G139" s="17" t="n">
        <x:v>0.1383760211053165</x:v>
      </x:c>
      <x:c r="H139" s="11" t="n">
        <x:f>1/G139</x:f>
        <x:v>7.226685606452803</x:v>
      </x:c>
      <x:c r="I139" s="17" t="n">
        <x:v>7.238296961096035</x:v>
      </x:c>
      <x:c r="J139" s="11" t="n">
        <x:f>I139/H139</x:f>
        <x:v>1.001606733055173</x:v>
      </x:c>
      <x:c r="K139" s="16" t="n">
        <x:f>COUNTIFS($J$8:$J$437,"&gt;"&amp;J139)+COUNTIFS($J$8:J139,J139)</x:f>
        <x:v>304</x:v>
      </x:c>
      <x:c r="L139" s="16" t="n">
        <x:f>IF(K139&lt;='Wyniki'!$B$6,1,0)</x:f>
        <x:v>0</x:v>
      </x:c>
      <x:c r="M139" s="17" t="n">
        <x:v>0.2589970719825345</x:v>
      </x:c>
      <x:c r="N139" s="18" t="n">
        <x:v>40</x:v>
      </x:c>
      <x:c r="O139" s="17" t="n">
        <x:v>0.29051474359100415</x:v>
      </x:c>
      <x:c r="P139" s="11" t="n">
        <x:f>1/O139</x:f>
        <x:v>3.4421660933251346</x:v>
      </x:c>
      <x:c r="Q139" s="17" t="n">
        <x:v>3.422803469607298</x:v>
      </x:c>
      <x:c r="R139" s="11" t="n">
        <x:f>Q139/P139</x:f>
        <x:v>0.9943748723353636</x:v>
      </x:c>
      <x:c r="S139" s="16" t="n">
        <x:f>COUNTIFS($R$8:$R$437,"&gt;"&amp;R139)+COUNTIFS($R$8:R139,R139)</x:f>
        <x:v>332</x:v>
      </x:c>
      <x:c r="T139" s="16" t="n">
        <x:f>IF(S139&lt;='Wyniki'!$B$6,1,0)</x:f>
        <x:v>0</x:v>
      </x:c>
    </x:row>
    <x:row r="140" ht="22" customHeight="1">
      <x:c r="A140" s="18" t="n">
        <x:v>133</x:v>
      </x:c>
      <x:c r="B140" s="17" t="n">
        <x:v>0.25934618739982646</x:v>
      </x:c>
      <x:c r="C140" s="17" t="n">
        <x:v>0.5569936998009057</x:v>
      </x:c>
      <x:c r="D140" s="18" t="n">
        <x:v>0</x:v>
      </x:c>
      <x:c r="E140" s="17" t="n">
        <x:v>0.18229083933901735</x:v>
      </x:c>
      <x:c r="F140" s="18" t="n">
        <x:v>10</x:v>
      </x:c>
      <x:c r="G140" s="17" t="n">
        <x:v>0.17678007734451467</x:v>
      </x:c>
      <x:c r="H140" s="11" t="n">
        <x:f>1/G140</x:f>
        <x:v>5.656746026030795</x:v>
      </x:c>
      <x:c r="I140" s="17" t="n">
        <x:v>6.11560298223699</x:v>
      </x:c>
      <x:c r="J140" s="11" t="n">
        <x:f>I140/H140</x:f>
        <x:v>1.0811167682081997</x:v>
      </x:c>
      <x:c r="K140" s="16" t="n">
        <x:f>COUNTIFS($J$8:$J$437,"&gt;"&amp;J140)+COUNTIFS($J$8:J140,J140)</x:f>
        <x:v>139</x:v>
      </x:c>
      <x:c r="L140" s="16" t="n">
        <x:f>IF(K140&lt;='Wyniki'!$B$6,1,0)</x:f>
        <x:v>0</x:v>
      </x:c>
      <x:c r="M140" s="17" t="n">
        <x:v>0.31698244126058955</x:v>
      </x:c>
      <x:c r="N140" s="18" t="n">
        <x:v>40</x:v>
      </x:c>
      <x:c r="O140" s="17" t="n">
        <x:v>0.3321803454342393</x:v>
      </x:c>
      <x:c r="P140" s="11" t="n">
        <x:f>1/O140</x:f>
        <x:v>3.0104129089659426</x:v>
      </x:c>
      <x:c r="Q140" s="17" t="n">
        <x:v>3.1032889593985358</x:v>
      </x:c>
      <x:c r="R140" s="11" t="n">
        <x:f>Q140/P140</x:f>
        <x:v>1.0308515985152666</x:v>
      </x:c>
      <x:c r="S140" s="16" t="n">
        <x:f>COUNTIFS($R$8:$R$437,"&gt;"&amp;R140)+COUNTIFS($R$8:R140,R140)</x:f>
        <x:v>225</x:v>
      </x:c>
      <x:c r="T140" s="16" t="n">
        <x:f>IF(S140&lt;='Wyniki'!$B$6,1,0)</x:f>
        <x:v>0</x:v>
      </x:c>
    </x:row>
    <x:row r="141" ht="22" customHeight="1">
      <x:c r="A141" s="18" t="n">
        <x:v>134</x:v>
      </x:c>
      <x:c r="B141" s="17" t="n">
        <x:v>0.08548613021765633</x:v>
      </x:c>
      <x:c r="C141" s="17" t="n">
        <x:v>0.19346602461956192</x:v>
      </x:c>
      <x:c r="D141" s="18" t="n">
        <x:v>0</x:v>
      </x:c>
      <x:c r="E141" s="17" t="n">
        <x:v>0.12901915211807358</x:v>
      </x:c>
      <x:c r="F141" s="18" t="n">
        <x:v>10</x:v>
      </x:c>
      <x:c r="G141" s="17" t="n">
        <x:v>0.12292018412229352</x:v>
      </x:c>
      <x:c r="H141" s="11" t="n">
        <x:f>1/G141</x:f>
        <x:v>8.135360414080555</x:v>
      </x:c>
      <x:c r="I141" s="17" t="n">
        <x:v>8.226530862576388</x:v>
      </x:c>
      <x:c r="J141" s="11" t="n">
        <x:f>I141/H141</x:f>
        <x:v>1.0112066883156199</x:v>
      </x:c>
      <x:c r="K141" s="16" t="n">
        <x:f>COUNTIFS($J$8:$J$437,"&gt;"&amp;J141)+COUNTIFS($J$8:J141,J141)</x:f>
        <x:v>265</x:v>
      </x:c>
      <x:c r="L141" s="16" t="n">
        <x:f>IF(K141&lt;='Wyniki'!$B$6,1,0)</x:f>
        <x:v>0</x:v>
      </x:c>
      <x:c r="M141" s="17" t="n">
        <x:v>0.24934250114327264</x:v>
      </x:c>
      <x:c r="N141" s="18" t="n">
        <x:v>40</x:v>
      </x:c>
      <x:c r="O141" s="17" t="n">
        <x:v>0.25923529901982556</x:v>
      </x:c>
      <x:c r="P141" s="11" t="n">
        <x:f>1/O141</x:f>
        <x:v>3.8574993597747773</x:v>
      </x:c>
      <x:c r="Q141" s="17" t="n">
        <x:v>3.7870087259958156</x:v>
      </x:c>
      <x:c r="R141" s="11" t="n">
        <x:f>Q141/P141</x:f>
        <x:v>0.9817263394742138</x:v>
      </x:c>
      <x:c r="S141" s="16" t="n">
        <x:f>COUNTIFS($R$8:$R$437,"&gt;"&amp;R141)+COUNTIFS($R$8:R141,R141)</x:f>
        <x:v>379</x:v>
      </x:c>
      <x:c r="T141" s="16" t="n">
        <x:f>IF(S141&lt;='Wyniki'!$B$6,1,0)</x:f>
        <x:v>0</x:v>
      </x:c>
    </x:row>
    <x:row r="142" ht="22" customHeight="1">
      <x:c r="A142" s="18" t="n">
        <x:v>135</x:v>
      </x:c>
      <x:c r="B142" s="17" t="n">
        <x:v>0.029235441167827052</x:v>
      </x:c>
      <x:c r="C142" s="17" t="n">
        <x:v>0.00004641620027779924</x:v>
      </x:c>
      <x:c r="D142" s="18" t="n">
        <x:v>0</x:v>
      </x:c>
      <x:c r="E142" s="17" t="n">
        <x:v>0.1193388625016983</x:v>
      </x:c>
      <x:c r="F142" s="18" t="n">
        <x:v>10</x:v>
      </x:c>
      <x:c r="G142" s="17" t="n">
        <x:v>0.12619713045985984</x:v>
      </x:c>
      <x:c r="H142" s="11" t="n">
        <x:f>1/G142</x:f>
        <x:v>7.924110448122076</x:v>
      </x:c>
      <x:c r="I142" s="17" t="n">
        <x:v>7.932489653243623</x:v>
      </x:c>
      <x:c r="J142" s="11" t="n">
        <x:f>I142/H142</x:f>
        <x:v>1.0010574316418739</x:v>
      </x:c>
      <x:c r="K142" s="16" t="n">
        <x:f>COUNTIFS($J$8:$J$437,"&gt;"&amp;J142)+COUNTIFS($J$8:J142,J142)</x:f>
        <x:v>308</x:v>
      </x:c>
      <x:c r="L142" s="16" t="n">
        <x:f>IF(K142&lt;='Wyniki'!$B$6,1,0)</x:f>
        <x:v>0</x:v>
      </x:c>
      <x:c r="M142" s="17" t="n">
        <x:v>0.22854066329011363</x:v>
      </x:c>
      <x:c r="N142" s="18" t="n">
        <x:v>40</x:v>
      </x:c>
      <x:c r="O142" s="17" t="n">
        <x:v>0.2569558722093909</x:v>
      </x:c>
      <x:c r="P142" s="11" t="n">
        <x:f>1/O142</x:f>
        <x:v>3.891718805262833</x:v>
      </x:c>
      <x:c r="Q142" s="17" t="n">
        <x:v>3.816783973255607</x:v>
      </x:c>
      <x:c r="R142" s="11" t="n">
        <x:f>Q142/P142</x:f>
        <x:v>0.980745054882719</x:v>
      </x:c>
      <x:c r="S142" s="16" t="n">
        <x:f>COUNTIFS($R$8:$R$437,"&gt;"&amp;R142)+COUNTIFS($R$8:R142,R142)</x:f>
        <x:v>385</x:v>
      </x:c>
      <x:c r="T142" s="16" t="n">
        <x:f>IF(S142&lt;='Wyniki'!$B$6,1,0)</x:f>
        <x:v>0</x:v>
      </x:c>
    </x:row>
    <x:row r="143" ht="22" customHeight="1">
      <x:c r="A143" s="18" t="n">
        <x:v>136</x:v>
      </x:c>
      <x:c r="B143" s="17" t="n">
        <x:v>-0.39685691844856613</x:v>
      </x:c>
      <x:c r="C143" s="17" t="n">
        <x:v>0.17407184392031944</x:v>
      </x:c>
      <x:c r="D143" s="18" t="n">
        <x:v>0</x:v>
      </x:c>
      <x:c r="E143" s="17" t="n">
        <x:v>0.15827107099347879</x:v>
      </x:c>
      <x:c r="F143" s="18" t="n">
        <x:v>10</x:v>
      </x:c>
      <x:c r="G143" s="17" t="n">
        <x:v>0.14068289889551167</x:v>
      </x:c>
      <x:c r="H143" s="11" t="n">
        <x:f>1/G143</x:f>
        <x:v>7.108184490445582</x:v>
      </x:c>
      <x:c r="I143" s="17" t="n">
        <x:v>7.092365540501402</x:v>
      </x:c>
      <x:c r="J143" s="11" t="n">
        <x:f>I143/H143</x:f>
        <x:v>0.9977745442643697</x:v>
      </x:c>
      <x:c r="K143" s="16" t="n">
        <x:f>COUNTIFS($J$8:$J$437,"&gt;"&amp;J143)+COUNTIFS($J$8:J143,J143)</x:f>
        <x:v>319</x:v>
      </x:c>
      <x:c r="L143" s="16" t="n">
        <x:f>IF(K143&lt;='Wyniki'!$B$6,1,0)</x:f>
        <x:v>0</x:v>
      </x:c>
      <x:c r="M143" s="17" t="n">
        <x:v>0.2857680457042897</x:v>
      </x:c>
      <x:c r="N143" s="18" t="n">
        <x:v>40</x:v>
      </x:c>
      <x:c r="O143" s="17" t="n">
        <x:v>0.3086189151436285</x:v>
      </x:c>
      <x:c r="P143" s="11" t="n">
        <x:f>1/O143</x:f>
        <x:v>3.2402420944763186</x:v>
      </x:c>
      <x:c r="Q143" s="17" t="n">
        <x:v>3.259100221081018</x:v>
      </x:c>
      <x:c r="R143" s="11" t="n">
        <x:f>Q143/P143</x:f>
        <x:v>1.0058199745743834</x:v>
      </x:c>
      <x:c r="S143" s="16" t="n">
        <x:f>COUNTIFS($R$8:$R$437,"&gt;"&amp;R143)+COUNTIFS($R$8:R143,R143)</x:f>
        <x:v>282</x:v>
      </x:c>
      <x:c r="T143" s="16" t="n">
        <x:f>IF(S143&lt;='Wyniki'!$B$6,1,0)</x:f>
        <x:v>0</x:v>
      </x:c>
    </x:row>
    <x:row r="144" ht="22" customHeight="1">
      <x:c r="A144" s="18" t="n">
        <x:v>137</x:v>
      </x:c>
      <x:c r="B144" s="17" t="n">
        <x:v>-0.05350762912741921</x:v>
      </x:c>
      <x:c r="C144" s="17" t="n">
        <x:v>1.1512425699118272</x:v>
      </x:c>
      <x:c r="D144" s="18" t="n">
        <x:v>0</x:v>
      </x:c>
      <x:c r="E144" s="17" t="n">
        <x:v>0.381374321494689</x:v>
      </x:c>
      <x:c r="F144" s="18" t="n">
        <x:v>10</x:v>
      </x:c>
      <x:c r="G144" s="17" t="n">
        <x:v>0.3718743912725459</x:v>
      </x:c>
      <x:c r="H144" s="11" t="n">
        <x:f>1/G144</x:f>
        <x:v>2.689080032045289</x:v>
      </x:c>
      <x:c r="I144" s="17" t="n">
        <x:v>4.128612058661662</x:v>
      </x:c>
      <x:c r="J144" s="11" t="n">
        <x:f>I144/H144</x:f>
        <x:v>1.535325096115298</x:v>
      </x:c>
      <x:c r="K144" s="16" t="n">
        <x:f>COUNTIFS($J$8:$J$437,"&gt;"&amp;J144)+COUNTIFS($J$8:J144,J144)</x:f>
        <x:v>19</x:v>
      </x:c>
      <x:c r="L144" s="16" t="n">
        <x:f>IF(K144&lt;='Wyniki'!$B$6,1,0)</x:f>
        <x:v>1</x:v>
      </x:c>
      <x:c r="M144" s="17" t="n">
        <x:v>0.6472196220733826</x:v>
      </x:c>
      <x:c r="N144" s="18" t="n">
        <x:v>40</x:v>
      </x:c>
      <x:c r="O144" s="17" t="n">
        <x:v>0.5429882701740962</x:v>
      </x:c>
      <x:c r="P144" s="11" t="n">
        <x:f>1/O144</x:f>
        <x:v>1.8416604094953541</x:v>
      </x:c>
      <x:c r="Q144" s="17" t="n">
        <x:v>2.301190902430151</x:v>
      </x:c>
      <x:c r="R144" s="11" t="n">
        <x:f>Q144/P144</x:f>
        <x:v>1.2495196674509153</x:v>
      </x:c>
      <x:c r="S144" s="16" t="n">
        <x:f>COUNTIFS($R$8:$R$437,"&gt;"&amp;R144)+COUNTIFS($R$8:R144,R144)</x:f>
        <x:v>97</x:v>
      </x:c>
      <x:c r="T144" s="16" t="n">
        <x:f>IF(S144&lt;='Wyniki'!$B$6,1,0)</x:f>
        <x:v>0</x:v>
      </x:c>
    </x:row>
    <x:row r="145" ht="22" customHeight="1">
      <x:c r="A145" s="18" t="n">
        <x:v>138</x:v>
      </x:c>
      <x:c r="B145" s="17" t="n">
        <x:v>0.8653451963613834</x:v>
      </x:c>
      <x:c r="C145" s="17" t="n">
        <x:v>0.21221560390607547</x:v>
      </x:c>
      <x:c r="D145" s="18" t="n">
        <x:v>0</x:v>
      </x:c>
      <x:c r="E145" s="17" t="n">
        <x:v>0.2334284401378623</x:v>
      </x:c>
      <x:c r="F145" s="18" t="n">
        <x:v>10</x:v>
      </x:c>
      <x:c r="G145" s="17" t="n">
        <x:v>0.2473391242771338</x:v>
      </x:c>
      <x:c r="H145" s="11" t="n">
        <x:f>1/G145</x:f>
        <x:v>4.043032023027377</x:v>
      </x:c>
      <x:c r="I145" s="17" t="n">
        <x:v>4.512271196285249</x:v>
      </x:c>
      <x:c r="J145" s="11" t="n">
        <x:f>I145/H145</x:f>
        <x:v>1.1160612061901283</x:v>
      </x:c>
      <x:c r="K145" s="16" t="n">
        <x:f>COUNTIFS($J$8:$J$437,"&gt;"&amp;J145)+COUNTIFS($J$8:J145,J145)</x:f>
        <x:v>104</x:v>
      </x:c>
      <x:c r="L145" s="16" t="n">
        <x:f>IF(K145&lt;='Wyniki'!$B$6,1,0)</x:f>
        <x:v>0</x:v>
      </x:c>
      <x:c r="M145" s="17" t="n">
        <x:v>0.447048727880413</x:v>
      </x:c>
      <x:c r="N145" s="18" t="n">
        <x:v>40</x:v>
      </x:c>
      <x:c r="O145" s="17" t="n">
        <x:v>0.4359715274577636</x:v>
      </x:c>
      <x:c r="P145" s="11" t="n">
        <x:f>1/O145</x:f>
        <x:v>2.2937277712404716</x:v>
      </x:c>
      <x:c r="Q145" s="17" t="n">
        <x:v>2.780399479953345</x:v>
      </x:c>
      <x:c r="R145" s="11" t="n">
        <x:f>Q145/P145</x:f>
        <x:v>1.2121750082180311</x:v>
      </x:c>
      <x:c r="S145" s="16" t="n">
        <x:f>COUNTIFS($R$8:$R$437,"&gt;"&amp;R145)+COUNTIFS($R$8:R145,R145)</x:f>
        <x:v>108</x:v>
      </x:c>
      <x:c r="T145" s="16" t="n">
        <x:f>IF(S145&lt;='Wyniki'!$B$6,1,0)</x:f>
        <x:v>0</x:v>
      </x:c>
    </x:row>
    <x:row r="146" ht="22" customHeight="1">
      <x:c r="A146" s="18" t="n">
        <x:v>139</x:v>
      </x:c>
      <x:c r="B146" s="17" t="n">
        <x:v>-0.4196814653321222</x:v>
      </x:c>
      <x:c r="C146" s="17" t="n">
        <x:v>-0.6118263095908799</x:v>
      </x:c>
      <x:c r="D146" s="18" t="n">
        <x:v>0</x:v>
      </x:c>
      <x:c r="E146" s="17" t="n">
        <x:v>0.15994763230313025</x:v>
      </x:c>
      <x:c r="F146" s="18" t="n">
        <x:v>10</x:v>
      </x:c>
      <x:c r="G146" s="17" t="n">
        <x:v>0.15905262227463868</x:v>
      </x:c>
      <x:c r="H146" s="11" t="n">
        <x:f>1/G146</x:f>
        <x:v>6.2872273697775585</x:v>
      </x:c>
      <x:c r="I146" s="17" t="n">
        <x:v>6.048285606227166</x:v>
      </x:c>
      <x:c r="J146" s="11" t="n">
        <x:f>I146/H146</x:f>
        <x:v>0.9619956859363834</x:v>
      </x:c>
      <x:c r="K146" s="16" t="n">
        <x:f>COUNTIFS($J$8:$J$437,"&gt;"&amp;J146)+COUNTIFS($J$8:J146,J146)</x:f>
        <x:v>411</x:v>
      </x:c>
      <x:c r="L146" s="16" t="n">
        <x:f>IF(K146&lt;='Wyniki'!$B$6,1,0)</x:f>
        <x:v>0</x:v>
      </x:c>
      <x:c r="M146" s="17" t="n">
        <x:v>0.3873385708251757</x:v>
      </x:c>
      <x:c r="N146" s="18" t="n">
        <x:v>40</x:v>
      </x:c>
      <x:c r="O146" s="17" t="n">
        <x:v>0.3683994372621485</x:v>
      </x:c>
      <x:c r="P146" s="11" t="n">
        <x:f>1/O146</x:f>
        <x:v>2.714444971555188</x:v>
      </x:c>
      <x:c r="Q146" s="17" t="n">
        <x:v>2.7567885740140077</x:v>
      </x:c>
      <x:c r="R146" s="11" t="n">
        <x:f>Q146/P146</x:f>
        <x:v>1.0155993593174812</x:v>
      </x:c>
      <x:c r="S146" s="16" t="n">
        <x:f>COUNTIFS($R$8:$R$437,"&gt;"&amp;R146)+COUNTIFS($R$8:R146,R146)</x:f>
        <x:v>250</x:v>
      </x:c>
      <x:c r="T146" s="16" t="n">
        <x:f>IF(S146&lt;='Wyniki'!$B$6,1,0)</x:f>
        <x:v>0</x:v>
      </x:c>
    </x:row>
    <x:row r="147" ht="22" customHeight="1">
      <x:c r="A147" s="18" t="n">
        <x:v>140</x:v>
      </x:c>
      <x:c r="B147" s="17" t="n">
        <x:v>0.6551286241988759</x:v>
      </x:c>
      <x:c r="C147" s="17" t="n">
        <x:v>0.14451207383092618</x:v>
      </x:c>
      <x:c r="D147" s="18" t="n">
        <x:v>0</x:v>
      </x:c>
      <x:c r="E147" s="17" t="n">
        <x:v>0.17715649764602714</x:v>
      </x:c>
      <x:c r="F147" s="18" t="n">
        <x:v>10</x:v>
      </x:c>
      <x:c r="G147" s="17" t="n">
        <x:v>0.16953400955098671</x:v>
      </x:c>
      <x:c r="H147" s="11" t="n">
        <x:f>1/G147</x:f>
        <x:v>5.898521498126037</x:v>
      </x:c>
      <x:c r="I147" s="17" t="n">
        <x:v>6.4512477890881925</x:v>
      </x:c>
      <x:c r="J147" s="11" t="n">
        <x:f>I147/H147</x:f>
        <x:v>1.0937059042910595</x:v>
      </x:c>
      <x:c r="K147" s="16" t="n">
        <x:f>COUNTIFS($J$8:$J$437,"&gt;"&amp;J147)+COUNTIFS($J$8:J147,J147)</x:f>
        <x:v>124</x:v>
      </x:c>
      <x:c r="L147" s="16" t="n">
        <x:f>IF(K147&lt;='Wyniki'!$B$6,1,0)</x:f>
        <x:v>0</x:v>
      </x:c>
      <x:c r="M147" s="17" t="n">
        <x:v>0.3335943684692443</x:v>
      </x:c>
      <x:c r="N147" s="18" t="n">
        <x:v>40</x:v>
      </x:c>
      <x:c r="O147" s="17" t="n">
        <x:v>0.3270523493125032</x:v>
      </x:c>
      <x:c r="P147" s="11" t="n">
        <x:f>1/O147</x:f>
        <x:v>3.0576144831312178</x:v>
      </x:c>
      <x:c r="Q147" s="17" t="n">
        <x:v>3.168991486904328</x:v>
      </x:c>
      <x:c r="R147" s="11" t="n">
        <x:f>Q147/P147</x:f>
        <x:v>1.0364261107433832</x:v>
      </x:c>
      <x:c r="S147" s="16" t="n">
        <x:f>COUNTIFS($R$8:$R$437,"&gt;"&amp;R147)+COUNTIFS($R$8:R147,R147)</x:f>
        <x:v>215</x:v>
      </x:c>
      <x:c r="T147" s="16" t="n">
        <x:f>IF(S147&lt;='Wyniki'!$B$6,1,0)</x:f>
        <x:v>0</x:v>
      </x:c>
    </x:row>
    <x:row r="148" ht="22" customHeight="1">
      <x:c r="A148" s="18" t="n">
        <x:v>141</x:v>
      </x:c>
      <x:c r="B148" s="17" t="n">
        <x:v>0.264078871865386</x:v>
      </x:c>
      <x:c r="C148" s="17" t="n">
        <x:v>-0.959522292835806</x:v>
      </x:c>
      <x:c r="D148" s="18" t="n">
        <x:v>0</x:v>
      </x:c>
      <x:c r="E148" s="17" t="n">
        <x:v>0.3352302488121746</x:v>
      </x:c>
      <x:c r="F148" s="18" t="n">
        <x:v>10</x:v>
      </x:c>
      <x:c r="G148" s="17" t="n">
        <x:v>0.3124413756855717</x:v>
      </x:c>
      <x:c r="H148" s="11" t="n">
        <x:f>1/G148</x:f>
        <x:v>3.200600425618275</x:v>
      </x:c>
      <x:c r="I148" s="17" t="n">
        <x:v>3.915232106370945</x:v>
      </x:c>
      <x:c r="J148" s="11" t="n">
        <x:f>I148/H148</x:f>
        <x:v>1.2232805054428564</x:v>
      </x:c>
      <x:c r="K148" s="16" t="n">
        <x:f>COUNTIFS($J$8:$J$437,"&gt;"&amp;J148)+COUNTIFS($J$8:J148,J148)</x:f>
        <x:v>60</x:v>
      </x:c>
      <x:c r="L148" s="16" t="n">
        <x:f>IF(K148&lt;='Wyniki'!$B$6,1,0)</x:f>
        <x:v>0</x:v>
      </x:c>
      <x:c r="M148" s="17" t="n">
        <x:v>0.5638905017910886</x:v>
      </x:c>
      <x:c r="N148" s="18" t="n">
        <x:v>40</x:v>
      </x:c>
      <x:c r="O148" s="17" t="n">
        <x:v>0.4966523890746414</x:v>
      </x:c>
      <x:c r="P148" s="11" t="n">
        <x:f>1/O148</x:f>
        <x:v>2.0134806999784933</x:v>
      </x:c>
      <x:c r="Q148" s="17" t="n">
        <x:v>2.5820780824847835</x:v>
      </x:c>
      <x:c r="R148" s="11" t="n">
        <x:f>Q148/P148</x:f>
        <x:v>1.2823952484433367</x:v>
      </x:c>
      <x:c r="S148" s="16" t="n">
        <x:f>COUNTIFS($R$8:$R$437,"&gt;"&amp;R148)+COUNTIFS($R$8:R148,R148)</x:f>
        <x:v>87</x:v>
      </x:c>
      <x:c r="T148" s="16" t="n">
        <x:f>IF(S148&lt;='Wyniki'!$B$6,1,0)</x:f>
        <x:v>0</x:v>
      </x:c>
    </x:row>
    <x:row r="149" ht="22" customHeight="1">
      <x:c r="A149" s="18" t="n">
        <x:v>142</x:v>
      </x:c>
      <x:c r="B149" s="17" t="n">
        <x:v>0.5100911648569995</x:v>
      </x:c>
      <x:c r="C149" s="17" t="n">
        <x:v>0.24993118601789965</x:v>
      </x:c>
      <x:c r="D149" s="18" t="n">
        <x:v>0</x:v>
      </x:c>
      <x:c r="E149" s="17" t="n">
        <x:v>0.12718634407841792</x:v>
      </x:c>
      <x:c r="F149" s="18" t="n">
        <x:v>10</x:v>
      </x:c>
      <x:c r="G149" s="17" t="n">
        <x:v>0.12081779385907451</x:v>
      </x:c>
      <x:c r="H149" s="11" t="n">
        <x:f>1/G149</x:f>
        <x:v>8.27692650278344</x:v>
      </x:c>
      <x:c r="I149" s="17" t="n">
        <x:v>8.092893452783745</x:v>
      </x:c>
      <x:c r="J149" s="11" t="n">
        <x:f>I149/H149</x:f>
        <x:v>0.9777655329018802</x:v>
      </x:c>
      <x:c r="K149" s="16" t="n">
        <x:f>COUNTIFS($J$8:$J$437,"&gt;"&amp;J149)+COUNTIFS($J$8:J149,J149)</x:f>
        <x:v>386</x:v>
      </x:c>
      <x:c r="L149" s="16" t="n">
        <x:f>IF(K149&lt;='Wyniki'!$B$6,1,0)</x:f>
        <x:v>0</x:v>
      </x:c>
      <x:c r="M149" s="17" t="n">
        <x:v>0.27869590366262137</x:v>
      </x:c>
      <x:c r="N149" s="18" t="n">
        <x:v>40</x:v>
      </x:c>
      <x:c r="O149" s="17" t="n">
        <x:v>0.2897675769732161</x:v>
      </x:c>
      <x:c r="P149" s="11" t="n">
        <x:f>1/O149</x:f>
        <x:v>3.451041729532191</x:v>
      </x:c>
      <x:c r="Q149" s="17" t="n">
        <x:v>3.4076637025082084</x:v>
      </x:c>
      <x:c r="R149" s="11" t="n">
        <x:f>Q149/P149</x:f>
        <x:v>0.9874304542153818</x:v>
      </x:c>
      <x:c r="S149" s="16" t="n">
        <x:f>COUNTIFS($R$8:$R$437,"&gt;"&amp;R149)+COUNTIFS($R$8:R149,R149)</x:f>
        <x:v>356</x:v>
      </x:c>
      <x:c r="T149" s="16" t="n">
        <x:f>IF(S149&lt;='Wyniki'!$B$6,1,0)</x:f>
        <x:v>0</x:v>
      </x:c>
    </x:row>
    <x:row r="150" ht="22" customHeight="1">
      <x:c r="A150" s="18" t="n">
        <x:v>143</x:v>
      </x:c>
      <x:c r="B150" s="17" t="n">
        <x:v>-0.6107368764279629</x:v>
      </x:c>
      <x:c r="C150" s="17" t="n">
        <x:v>-0.2593386440974719</x:v>
      </x:c>
      <x:c r="D150" s="18" t="n">
        <x:v>0</x:v>
      </x:c>
      <x:c r="E150" s="17" t="n">
        <x:v>0.16651003519305865</x:v>
      </x:c>
      <x:c r="F150" s="18" t="n">
        <x:v>10</x:v>
      </x:c>
      <x:c r="G150" s="17" t="n">
        <x:v>0.15836414441660568</x:v>
      </x:c>
      <x:c r="H150" s="11" t="n">
        <x:f>1/G150</x:f>
        <x:v>6.314560683441816</x:v>
      </x:c>
      <x:c r="I150" s="17" t="n">
        <x:v>6.618980051263122</x:v>
      </x:c>
      <x:c r="J150" s="11" t="n">
        <x:f>I150/H150</x:f>
        <x:v>1.048209112728865</x:v>
      </x:c>
      <x:c r="K150" s="16" t="n">
        <x:f>COUNTIFS($J$8:$J$437,"&gt;"&amp;J150)+COUNTIFS($J$8:J150,J150)</x:f>
        <x:v>183</x:v>
      </x:c>
      <x:c r="L150" s="16" t="n">
        <x:f>IF(K150&lt;='Wyniki'!$B$6,1,0)</x:f>
        <x:v>0</x:v>
      </x:c>
      <x:c r="M150" s="17" t="n">
        <x:v>0.3611195441825478</x:v>
      </x:c>
      <x:c r="N150" s="18" t="n">
        <x:v>40</x:v>
      </x:c>
      <x:c r="O150" s="17" t="n">
        <x:v>0.36673397378078637</x:v>
      </x:c>
      <x:c r="P150" s="11" t="n">
        <x:f>1/O150</x:f>
        <x:v>2.7267721877268607</x:v>
      </x:c>
      <x:c r="Q150" s="17" t="n">
        <x:v>2.7605866073148833</x:v>
      </x:c>
      <x:c r="R150" s="11" t="n">
        <x:f>Q150/P150</x:f>
        <x:v>1.0124008964666065</x:v>
      </x:c>
      <x:c r="S150" s="16" t="n">
        <x:f>COUNTIFS($R$8:$R$437,"&gt;"&amp;R150)+COUNTIFS($R$8:R150,R150)</x:f>
        <x:v>257</x:v>
      </x:c>
      <x:c r="T150" s="16" t="n">
        <x:f>IF(S150&lt;='Wyniki'!$B$6,1,0)</x:f>
        <x:v>0</x:v>
      </x:c>
    </x:row>
    <x:row r="151" ht="22" customHeight="1">
      <x:c r="A151" s="18" t="n">
        <x:v>144</x:v>
      </x:c>
      <x:c r="B151" s="17" t="n">
        <x:v>0.1450444623960858</x:v>
      </x:c>
      <x:c r="C151" s="17" t="n">
        <x:v>0.028856739095933996</x:v>
      </x:c>
      <x:c r="D151" s="18" t="n">
        <x:v>0</x:v>
      </x:c>
      <x:c r="E151" s="17" t="n">
        <x:v>0.12773681853206909</x:v>
      </x:c>
      <x:c r="F151" s="18" t="n">
        <x:v>10</x:v>
      </x:c>
      <x:c r="G151" s="17" t="n">
        <x:v>0.13082687410978458</x:v>
      </x:c>
      <x:c r="H151" s="11" t="n">
        <x:f>1/G151</x:f>
        <x:v>7.643689469801448</x:v>
      </x:c>
      <x:c r="I151" s="17" t="n">
        <x:v>7.73761701159855</x:v>
      </x:c>
      <x:c r="J151" s="11" t="n">
        <x:f>I151/H151</x:f>
        <x:v>1.012288246686131</x:v>
      </x:c>
      <x:c r="K151" s="16" t="n">
        <x:f>COUNTIFS($J$8:$J$437,"&gt;"&amp;J151)+COUNTIFS($J$8:J151,J151)</x:f>
        <x:v>259</x:v>
      </x:c>
      <x:c r="L151" s="16" t="n">
        <x:f>IF(K151&lt;='Wyniki'!$B$6,1,0)</x:f>
        <x:v>0</x:v>
      </x:c>
      <x:c r="M151" s="17" t="n">
        <x:v>0.24966207936936283</x:v>
      </x:c>
      <x:c r="N151" s="18" t="n">
        <x:v>40</x:v>
      </x:c>
      <x:c r="O151" s="17" t="n">
        <x:v>0.2557839850290309</x:v>
      </x:c>
      <x:c r="P151" s="11" t="n">
        <x:f>1/O151</x:f>
        <x:v>3.9095489105250367</x:v>
      </x:c>
      <x:c r="Q151" s="17" t="n">
        <x:v>3.79229068484442</x:v>
      </x:c>
      <x:c r="R151" s="11" t="n">
        <x:f>Q151/P151</x:f>
        <x:v>0.9700072237579783</x:v>
      </x:c>
      <x:c r="S151" s="16" t="n">
        <x:f>COUNTIFS($R$8:$R$437,"&gt;"&amp;R151)+COUNTIFS($R$8:R151,R151)</x:f>
        <x:v>425</x:v>
      </x:c>
      <x:c r="T151" s="16" t="n">
        <x:f>IF(S151&lt;='Wyniki'!$B$6,1,0)</x:f>
        <x:v>0</x:v>
      </x:c>
    </x:row>
    <x:row r="152" ht="22" customHeight="1">
      <x:c r="A152" s="18" t="n">
        <x:v>145</x:v>
      </x:c>
      <x:c r="B152" s="17" t="n">
        <x:v>-0.16069415219195526</x:v>
      </x:c>
      <x:c r="C152" s="17" t="n">
        <x:v>-0.05691854743627848</x:v>
      </x:c>
      <x:c r="D152" s="18" t="n">
        <x:v>0</x:v>
      </x:c>
      <x:c r="E152" s="17" t="n">
        <x:v>0.1345935531227607</x:v>
      </x:c>
      <x:c r="F152" s="18" t="n">
        <x:v>10</x:v>
      </x:c>
      <x:c r="G152" s="17" t="n">
        <x:v>0.13637997947518712</x:v>
      </x:c>
      <x:c r="H152" s="11" t="n">
        <x:f>1/G152</x:f>
        <x:v>7.332454542434795</x:v>
      </x:c>
      <x:c r="I152" s="17" t="n">
        <x:v>7.290054310739618</x:v>
      </x:c>
      <x:c r="J152" s="11" t="n">
        <x:f>I152/H152</x:f>
        <x:v>0.9942174572716685</x:v>
      </x:c>
      <x:c r="K152" s="16" t="n">
        <x:f>COUNTIFS($J$8:$J$437,"&gt;"&amp;J152)+COUNTIFS($J$8:J152,J152)</x:f>
        <x:v>334</x:v>
      </x:c>
      <x:c r="L152" s="16" t="n">
        <x:f>IF(K152&lt;='Wyniki'!$B$6,1,0)</x:f>
        <x:v>0</x:v>
      </x:c>
      <x:c r="M152" s="17" t="n">
        <x:v>0.27451541837946164</x:v>
      </x:c>
      <x:c r="N152" s="18" t="n">
        <x:v>40</x:v>
      </x:c>
      <x:c r="O152" s="17" t="n">
        <x:v>0.2665254605335447</x:v>
      </x:c>
      <x:c r="P152" s="11" t="n">
        <x:f>1/O152</x:f>
        <x:v>3.7519867632838806</x:v>
      </x:c>
      <x:c r="Q152" s="17" t="n">
        <x:v>3.714336721608059</x:v>
      </x:c>
      <x:c r="R152" s="11" t="n">
        <x:f>Q152/P152</x:f>
        <x:v>0.9899653053032444</x:v>
      </x:c>
      <x:c r="S152" s="16" t="n">
        <x:f>COUNTIFS($R$8:$R$437,"&gt;"&amp;R152)+COUNTIFS($R$8:R152,R152)</x:f>
        <x:v>347</x:v>
      </x:c>
      <x:c r="T152" s="16" t="n">
        <x:f>IF(S152&lt;='Wyniki'!$B$6,1,0)</x:f>
        <x:v>0</x:v>
      </x:c>
    </x:row>
    <x:row r="153" ht="22" customHeight="1">
      <x:c r="A153" s="18" t="n">
        <x:v>146</x:v>
      </x:c>
      <x:c r="B153" s="17" t="n">
        <x:v>-0.13858755801378697</x:v>
      </x:c>
      <x:c r="C153" s="17" t="n">
        <x:v>0.08390938165635772</x:v>
      </x:c>
      <x:c r="D153" s="18" t="n">
        <x:v>0</x:v>
      </x:c>
      <x:c r="E153" s="17" t="n">
        <x:v>0.11855554207080608</x:v>
      </x:c>
      <x:c r="F153" s="18" t="n">
        <x:v>10</x:v>
      </x:c>
      <x:c r="G153" s="17" t="n">
        <x:v>0.10990477508835891</x:v>
      </x:c>
      <x:c r="H153" s="11" t="n">
        <x:f>1/G153</x:f>
        <x:v>9.09878573698041</x:v>
      </x:c>
      <x:c r="I153" s="17" t="n">
        <x:v>9.177684737719051</x:v>
      </x:c>
      <x:c r="J153" s="11" t="n">
        <x:f>I153/H153</x:f>
        <x:v>1.0086713769308766</x:v>
      </x:c>
      <x:c r="K153" s="16" t="n">
        <x:f>COUNTIFS($J$8:$J$437,"&gt;"&amp;J153)+COUNTIFS($J$8:J153,J153)</x:f>
        <x:v>274</x:v>
      </x:c>
      <x:c r="L153" s="16" t="n">
        <x:f>IF(K153&lt;='Wyniki'!$B$6,1,0)</x:f>
        <x:v>0</x:v>
      </x:c>
      <x:c r="M153" s="17" t="n">
        <x:v>0.24942268496471817</x:v>
      </x:c>
      <x:c r="N153" s="18" t="n">
        <x:v>40</x:v>
      </x:c>
      <x:c r="O153" s="17" t="n">
        <x:v>0.2615824940933707</x:v>
      </x:c>
      <x:c r="P153" s="11" t="n">
        <x:f>1/O153</x:f>
        <x:v>3.8228857915967973</x:v>
      </x:c>
      <x:c r="Q153" s="17" t="n">
        <x:v>3.7403711931889823</x:v>
      </x:c>
      <x:c r="R153" s="11" t="n">
        <x:f>Q153/P153</x:f>
        <x:v>0.9784156255493709</x:v>
      </x:c>
      <x:c r="S153" s="16" t="n">
        <x:f>COUNTIFS($R$8:$R$437,"&gt;"&amp;R153)+COUNTIFS($R$8:R153,R153)</x:f>
        <x:v>397</x:v>
      </x:c>
      <x:c r="T153" s="16" t="n">
        <x:f>IF(S153&lt;='Wyniki'!$B$6,1,0)</x:f>
        <x:v>0</x:v>
      </x:c>
    </x:row>
    <x:row r="154" ht="22" customHeight="1">
      <x:c r="A154" s="18" t="n">
        <x:v>147</x:v>
      </x:c>
      <x:c r="B154" s="17" t="n">
        <x:v>0.8093205851462364</x:v>
      </x:c>
      <x:c r="C154" s="17" t="n">
        <x:v>-1.4116621425122138</x:v>
      </x:c>
      <x:c r="D154" s="18" t="n">
        <x:v>0</x:v>
      </x:c>
      <x:c r="E154" s="17" t="n">
        <x:v>0.7578558465452936</x:v>
      </x:c>
      <x:c r="F154" s="18" t="n">
        <x:v>10</x:v>
      </x:c>
      <x:c r="G154" s="17" t="n">
        <x:v>0.6491057496268438</x:v>
      </x:c>
      <x:c r="H154" s="11" t="n">
        <x:f>1/G154</x:f>
        <x:v>1.5405810233153494</x:v>
      </x:c>
      <x:c r="I154" s="17" t="n">
        <x:v>2.6876224713823094</x:v>
      </x:c>
      <x:c r="J154" s="11" t="n">
        <x:f>I154/H154</x:f>
        <x:v>1.7445511990005644</x:v>
      </x:c>
      <x:c r="K154" s="16" t="n">
        <x:f>COUNTIFS($J$8:$J$437,"&gt;"&amp;J154)+COUNTIFS($J$8:J154,J154)</x:f>
        <x:v>7</x:v>
      </x:c>
      <x:c r="L154" s="16" t="n">
        <x:f>IF(K154&lt;='Wyniki'!$B$6,1,0)</x:f>
        <x:v>1</x:v>
      </x:c>
      <x:c r="M154" s="17" t="n">
        <x:v>1.099633394291157</x:v>
      </x:c>
      <x:c r="N154" s="18" t="n">
        <x:v>40</x:v>
      </x:c>
      <x:c r="O154" s="17" t="n">
        <x:v>0.926637548420927</x:v>
      </x:c>
      <x:c r="P154" s="11" t="n">
        <x:f>1/O154</x:f>
        <x:v>1.0791706009583673</x:v>
      </x:c>
      <x:c r="Q154" s="17" t="n">
        <x:v>2.186226652679352</x:v>
      </x:c>
      <x:c r="R154" s="11" t="n">
        <x:f>Q154/P154</x:f>
        <x:v>2.0258397057312845</x:v>
      </x:c>
      <x:c r="S154" s="16" t="n">
        <x:f>COUNTIFS($R$8:$R$437,"&gt;"&amp;R154)+COUNTIFS($R$8:R154,R154)</x:f>
        <x:v>4</x:v>
      </x:c>
      <x:c r="T154" s="16" t="n">
        <x:f>IF(S154&lt;='Wyniki'!$B$6,1,0)</x:f>
        <x:v>1</x:v>
      </x:c>
    </x:row>
    <x:row r="155" ht="22" customHeight="1">
      <x:c r="A155" s="18" t="n">
        <x:v>148</x:v>
      </x:c>
      <x:c r="B155" s="17" t="n">
        <x:v>-0.13026764548032635</x:v>
      </x:c>
      <x:c r="C155" s="17" t="n">
        <x:v>0.09708183175484583</x:v>
      </x:c>
      <x:c r="D155" s="18" t="n">
        <x:v>0</x:v>
      </x:c>
      <x:c r="E155" s="17" t="n">
        <x:v>0.11116245130071277</x:v>
      </x:c>
      <x:c r="F155" s="18" t="n">
        <x:v>10</x:v>
      </x:c>
      <x:c r="G155" s="17" t="n">
        <x:v>0.10447400801599882</x:v>
      </x:c>
      <x:c r="H155" s="11" t="n">
        <x:f>1/G155</x:f>
        <x:v>9.571758746413396</x:v>
      </x:c>
      <x:c r="I155" s="17" t="n">
        <x:v>9.3147260377383</x:v>
      </x:c>
      <x:c r="J155" s="11" t="n">
        <x:f>I155/H155</x:f>
        <x:v>0.9731467627335041</x:v>
      </x:c>
      <x:c r="K155" s="16" t="n">
        <x:f>COUNTIFS($J$8:$J$437,"&gt;"&amp;J155)+COUNTIFS($J$8:J155,J155)</x:f>
        <x:v>396</x:v>
      </x:c>
      <x:c r="L155" s="16" t="n">
        <x:f>IF(K155&lt;='Wyniki'!$B$6,1,0)</x:f>
        <x:v>0</x:v>
      </x:c>
      <x:c r="M155" s="17" t="n">
        <x:v>0.2577065172802228</x:v>
      </x:c>
      <x:c r="N155" s="18" t="n">
        <x:v>40</x:v>
      </x:c>
      <x:c r="O155" s="17" t="n">
        <x:v>0.2613733936899469</x:v>
      </x:c>
      <x:c r="P155" s="11" t="n">
        <x:f>1/O155</x:f>
        <x:v>3.825944124925913</x:v>
      </x:c>
      <x:c r="Q155" s="17" t="n">
        <x:v>3.7402947348557545</x:v>
      </x:c>
      <x:c r="R155" s="11" t="n">
        <x:f>Q155/P155</x:f>
        <x:v>0.9776135282498887</x:v>
      </x:c>
      <x:c r="S155" s="16" t="n">
        <x:f>COUNTIFS($R$8:$R$437,"&gt;"&amp;R155)+COUNTIFS($R$8:R155,R155)</x:f>
        <x:v>399</x:v>
      </x:c>
      <x:c r="T155" s="16" t="n">
        <x:f>IF(S155&lt;='Wyniki'!$B$6,1,0)</x:f>
        <x:v>0</x:v>
      </x:c>
    </x:row>
    <x:row r="156" ht="22" customHeight="1">
      <x:c r="A156" s="18" t="n">
        <x:v>149</x:v>
      </x:c>
      <x:c r="B156" s="17" t="n">
        <x:v>0.16279669432790475</x:v>
      </x:c>
      <x:c r="C156" s="17" t="n">
        <x:v>-0.20455301972670945</x:v>
      </x:c>
      <x:c r="D156" s="18" t="n">
        <x:v>0</x:v>
      </x:c>
      <x:c r="E156" s="17" t="n">
        <x:v>0.1368992678356546</x:v>
      </x:c>
      <x:c r="F156" s="18" t="n">
        <x:v>10</x:v>
      </x:c>
      <x:c r="G156" s="17" t="n">
        <x:v>0.12975557769208512</x:v>
      </x:c>
      <x:c r="H156" s="11" t="n">
        <x:f>1/G156</x:f>
        <x:v>7.706797794643077</x:v>
      </x:c>
      <x:c r="I156" s="17" t="n">
        <x:v>7.470641963090593</x:v>
      </x:c>
      <x:c r="J156" s="11" t="n">
        <x:f>I156/H156</x:f>
        <x:v>0.9693574636515527</x:v>
      </x:c>
      <x:c r="K156" s="16" t="n">
        <x:f>COUNTIFS($J$8:$J$437,"&gt;"&amp;J156)+COUNTIFS($J$8:J156,J156)</x:f>
        <x:v>404</x:v>
      </x:c>
      <x:c r="L156" s="16" t="n">
        <x:f>IF(K156&lt;='Wyniki'!$B$6,1,0)</x:f>
        <x:v>0</x:v>
      </x:c>
      <x:c r="M156" s="17" t="n">
        <x:v>0.27949358728491736</x:v>
      </x:c>
      <x:c r="N156" s="18" t="n">
        <x:v>40</x:v>
      </x:c>
      <x:c r="O156" s="17" t="n">
        <x:v>0.2737943977654305</x:v>
      </x:c>
      <x:c r="P156" s="11" t="n">
        <x:f>1/O156</x:f>
        <x:v>3.652375681027396</x:v>
      </x:c>
      <x:c r="Q156" s="17" t="n">
        <x:v>3.574918578573121</x:v>
      </x:c>
      <x:c r="R156" s="11" t="n">
        <x:f>Q156/P156</x:f>
        <x:v>0.9787926792808764</x:v>
      </x:c>
      <x:c r="S156" s="16" t="n">
        <x:f>COUNTIFS($R$8:$R$437,"&gt;"&amp;R156)+COUNTIFS($R$8:R156,R156)</x:f>
        <x:v>394</x:v>
      </x:c>
      <x:c r="T156" s="16" t="n">
        <x:f>IF(S156&lt;='Wyniki'!$B$6,1,0)</x:f>
        <x:v>0</x:v>
      </x:c>
    </x:row>
    <x:row r="157" ht="22" customHeight="1">
      <x:c r="A157" s="18" t="n">
        <x:v>150</x:v>
      </x:c>
      <x:c r="B157" s="17" t="n">
        <x:v>-0.9661969803632205</x:v>
      </x:c>
      <x:c r="C157" s="17" t="n">
        <x:v>0.1803975160427603</x:v>
      </x:c>
      <x:c r="D157" s="18" t="n">
        <x:v>0</x:v>
      </x:c>
      <x:c r="E157" s="17" t="n">
        <x:v>0.24842210844857898</x:v>
      </x:c>
      <x:c r="F157" s="18" t="n">
        <x:v>10</x:v>
      </x:c>
      <x:c r="G157" s="17" t="n">
        <x:v>0.2649536079613815</x:v>
      </x:c>
      <x:c r="H157" s="11" t="n">
        <x:f>1/G157</x:f>
        <x:v>3.774245641319048</x:v>
      </x:c>
      <x:c r="I157" s="17" t="n">
        <x:v>4.0105085191714895</x:v>
      </x:c>
      <x:c r="J157" s="11" t="n">
        <x:f>I157/H157</x:f>
        <x:v>1.0625987019143435</x:v>
      </x:c>
      <x:c r="K157" s="16" t="n">
        <x:f>COUNTIFS($J$8:$J$437,"&gt;"&amp;J157)+COUNTIFS($J$8:J157,J157)</x:f>
        <x:v>159</x:v>
      </x:c>
      <x:c r="L157" s="16" t="n">
        <x:f>IF(K157&lt;='Wyniki'!$B$6,1,0)</x:f>
        <x:v>0</x:v>
      </x:c>
      <x:c r="M157" s="17" t="n">
        <x:v>0.5404189587957712</x:v>
      </x:c>
      <x:c r="N157" s="18" t="n">
        <x:v>40</x:v>
      </x:c>
      <x:c r="O157" s="17" t="n">
        <x:v>0.48551380490071805</x:v>
      </x:c>
      <x:c r="P157" s="11" t="n">
        <x:f>1/O157</x:f>
        <x:v>2.059673669226539</x:v>
      </x:c>
      <x:c r="Q157" s="17" t="n">
        <x:v>2.4648306353209852</x:v>
      </x:c>
      <x:c r="R157" s="11" t="n">
        <x:f>Q157/P157</x:f>
        <x:v>1.1967093001905458</x:v>
      </x:c>
      <x:c r="S157" s="16" t="n">
        <x:f>COUNTIFS($R$8:$R$437,"&gt;"&amp;R157)+COUNTIFS($R$8:R157,R157)</x:f>
        <x:v>116</x:v>
      </x:c>
      <x:c r="T157" s="16" t="n">
        <x:f>IF(S157&lt;='Wyniki'!$B$6,1,0)</x:f>
        <x:v>0</x:v>
      </x:c>
    </x:row>
    <x:row r="158" ht="22" customHeight="1">
      <x:c r="A158" s="18" t="n">
        <x:v>151</x:v>
      </x:c>
      <x:c r="B158" s="17" t="n">
        <x:v>0.9500426177903019</x:v>
      </x:c>
      <x:c r="C158" s="17" t="n">
        <x:v>-0.8436237727038758</x:v>
      </x:c>
      <x:c r="D158" s="18" t="n">
        <x:v>0</x:v>
      </x:c>
      <x:c r="E158" s="17" t="n">
        <x:v>0.4606526896948571</x:v>
      </x:c>
      <x:c r="F158" s="18" t="n">
        <x:v>10</x:v>
      </x:c>
      <x:c r="G158" s="17" t="n">
        <x:v>0.44583960459398025</x:v>
      </x:c>
      <x:c r="H158" s="11" t="n">
        <x:f>1/G158</x:f>
        <x:v>2.2429591038927232</x:v>
      </x:c>
      <x:c r="I158" s="17" t="n">
        <x:v>2.7241366551292097</x:v>
      </x:c>
      <x:c r="J158" s="11" t="n">
        <x:f>I158/H158</x:f>
        <x:v>1.2145280091827748</x:v>
      </x:c>
      <x:c r="K158" s="16" t="n">
        <x:f>COUNTIFS($J$8:$J$437,"&gt;"&amp;J158)+COUNTIFS($J$8:J158,J158)</x:f>
        <x:v>61</x:v>
      </x:c>
      <x:c r="L158" s="16" t="n">
        <x:f>IF(K158&lt;='Wyniki'!$B$6,1,0)</x:f>
        <x:v>0</x:v>
      </x:c>
      <x:c r="M158" s="17" t="n">
        <x:v>0.8010095399476422</x:v>
      </x:c>
      <x:c r="N158" s="18" t="n">
        <x:v>40</x:v>
      </x:c>
      <x:c r="O158" s="17" t="n">
        <x:v>0.7052891315765649</x:v>
      </x:c>
      <x:c r="P158" s="11" t="n">
        <x:f>1/O158</x:f>
        <x:v>1.4178582303751859</x:v>
      </x:c>
      <x:c r="Q158" s="17" t="n">
        <x:v>2.130313256339279</x:v>
      </x:c>
      <x:c r="R158" s="11" t="n">
        <x:f>Q158/P158</x:f>
        <x:v>1.5024867865495741</x:v>
      </x:c>
      <x:c r="S158" s="16" t="n">
        <x:f>COUNTIFS($R$8:$R$437,"&gt;"&amp;R158)+COUNTIFS($R$8:R158,R158)</x:f>
        <x:v>54</x:v>
      </x:c>
      <x:c r="T158" s="16" t="n">
        <x:f>IF(S158&lt;='Wyniki'!$B$6,1,0)</x:f>
        <x:v>0</x:v>
      </x:c>
    </x:row>
    <x:row r="159" ht="22" customHeight="1">
      <x:c r="A159" s="18" t="n">
        <x:v>152</x:v>
      </x:c>
      <x:c r="B159" s="17" t="n">
        <x:v>0.4751054075340036</x:v>
      </x:c>
      <x:c r="C159" s="17" t="n">
        <x:v>-0.18068887271759165</x:v>
      </x:c>
      <x:c r="D159" s="18" t="n">
        <x:v>0</x:v>
      </x:c>
      <x:c r="E159" s="17" t="n">
        <x:v>0.1445108824396597</x:v>
      </x:c>
      <x:c r="F159" s="18" t="n">
        <x:v>10</x:v>
      </x:c>
      <x:c r="G159" s="17" t="n">
        <x:v>0.14204584305529944</x:v>
      </x:c>
      <x:c r="H159" s="11" t="n">
        <x:f>1/G159</x:f>
        <x:v>7.039980744883136</x:v>
      </x:c>
      <x:c r="I159" s="17" t="n">
        <x:v>6.983759669216154</x:v>
      </x:c>
      <x:c r="J159" s="11" t="n">
        <x:f>I159/H159</x:f>
        <x:v>0.9920140299094077</x:v>
      </x:c>
      <x:c r="K159" s="16" t="n">
        <x:f>COUNTIFS($J$8:$J$437,"&gt;"&amp;J159)+COUNTIFS($J$8:J159,J159)</x:f>
        <x:v>342</x:v>
      </x:c>
      <x:c r="L159" s="16" t="n">
        <x:f>IF(K159&lt;='Wyniki'!$B$6,1,0)</x:f>
        <x:v>0</x:v>
      </x:c>
      <x:c r="M159" s="17" t="n">
        <x:v>0.3162283154620443</x:v>
      </x:c>
      <x:c r="N159" s="18" t="n">
        <x:v>40</x:v>
      </x:c>
      <x:c r="O159" s="17" t="n">
        <x:v>0.32267294423389614</x:v>
      </x:c>
      <x:c r="P159" s="11" t="n">
        <x:f>1/O159</x:f>
        <x:v>3.09911325963273</x:v>
      </x:c>
      <x:c r="Q159" s="17" t="n">
        <x:v>3.2151836789380694</x:v>
      </x:c>
      <x:c r="R159" s="11" t="n">
        <x:f>Q159/P159</x:f>
        <x:v>1.0374527839357168</x:v>
      </x:c>
      <x:c r="S159" s="16" t="n">
        <x:f>COUNTIFS($R$8:$R$437,"&gt;"&amp;R159)+COUNTIFS($R$8:R159,R159)</x:f>
        <x:v>212</x:v>
      </x:c>
      <x:c r="T159" s="16" t="n">
        <x:f>IF(S159&lt;='Wyniki'!$B$6,1,0)</x:f>
        <x:v>0</x:v>
      </x:c>
    </x:row>
    <x:row r="160" ht="22" customHeight="1">
      <x:c r="A160" s="18" t="n">
        <x:v>153</x:v>
      </x:c>
      <x:c r="B160" s="17" t="n">
        <x:v>-0.033728390205866016</x:v>
      </x:c>
      <x:c r="C160" s="17" t="n">
        <x:v>-0.579094180887172</x:v>
      </x:c>
      <x:c r="D160" s="18" t="n">
        <x:v>0</x:v>
      </x:c>
      <x:c r="E160" s="17" t="n">
        <x:v>0.14762227668220318</x:v>
      </x:c>
      <x:c r="F160" s="18" t="n">
        <x:v>10</x:v>
      </x:c>
      <x:c r="G160" s="17" t="n">
        <x:v>0.1485938037917005</x:v>
      </x:c>
      <x:c r="H160" s="11" t="n">
        <x:f>1/G160</x:f>
        <x:v>6.729755713110385</x:v>
      </x:c>
      <x:c r="I160" s="17" t="n">
        <x:v>6.539249136444475</x:v>
      </x:c>
      <x:c r="J160" s="11" t="n">
        <x:f>I160/H160</x:f>
        <x:v>0.9716919031258773</x:v>
      </x:c>
      <x:c r="K160" s="16" t="n">
        <x:f>COUNTIFS($J$8:$J$437,"&gt;"&amp;J160)+COUNTIFS($J$8:J160,J160)</x:f>
        <x:v>398</x:v>
      </x:c>
      <x:c r="L160" s="16" t="n">
        <x:f>IF(K160&lt;='Wyniki'!$B$6,1,0)</x:f>
        <x:v>0</x:v>
      </x:c>
      <x:c r="M160" s="17" t="n">
        <x:v>0.31686331990176814</x:v>
      </x:c>
      <x:c r="N160" s="18" t="n">
        <x:v>40</x:v>
      </x:c>
      <x:c r="O160" s="17" t="n">
        <x:v>0.3309443213805022</x:v>
      </x:c>
      <x:c r="P160" s="11" t="n">
        <x:f>1/O160</x:f>
        <x:v>3.0216563191916896</x:v>
      </x:c>
      <x:c r="Q160" s="17" t="n">
        <x:v>3.037255715091607</x:v>
      </x:c>
      <x:c r="R160" s="11" t="n">
        <x:f>Q160/P160</x:f>
        <x:v>1.0051625314900439</x:v>
      </x:c>
      <x:c r="S160" s="16" t="n">
        <x:f>COUNTIFS($R$8:$R$437,"&gt;"&amp;R160)+COUNTIFS($R$8:R160,R160)</x:f>
        <x:v>286</x:v>
      </x:c>
      <x:c r="T160" s="16" t="n">
        <x:f>IF(S160&lt;='Wyniki'!$B$6,1,0)</x:f>
        <x:v>0</x:v>
      </x:c>
    </x:row>
    <x:row r="161" ht="22" customHeight="1">
      <x:c r="A161" s="18" t="n">
        <x:v>154</x:v>
      </x:c>
      <x:c r="B161" s="17" t="n">
        <x:v>-0.18395089479573218</x:v>
      </x:c>
      <x:c r="C161" s="17" t="n">
        <x:v>0.7150245270844272</x:v>
      </x:c>
      <x:c r="D161" s="18" t="n">
        <x:v>0</x:v>
      </x:c>
      <x:c r="E161" s="17" t="n">
        <x:v>0.1635502785222669</x:v>
      </x:c>
      <x:c r="F161" s="18" t="n">
        <x:v>10</x:v>
      </x:c>
      <x:c r="G161" s="17" t="n">
        <x:v>0.19136392390689455</x:v>
      </x:c>
      <x:c r="H161" s="11" t="n">
        <x:f>1/G161</x:f>
        <x:v>5.225645354589071</x:v>
      </x:c>
      <x:c r="I161" s="17" t="n">
        <x:v>5.2534120688885135</x:v>
      </x:c>
      <x:c r="J161" s="11" t="n">
        <x:f>I161/H161</x:f>
        <x:v>1.005313547402343</x:v>
      </x:c>
      <x:c r="K161" s="16" t="n">
        <x:f>COUNTIFS($J$8:$J$437,"&gt;"&amp;J161)+COUNTIFS($J$8:J161,J161)</x:f>
        <x:v>287</x:v>
      </x:c>
      <x:c r="L161" s="16" t="n">
        <x:f>IF(K161&lt;='Wyniki'!$B$6,1,0)</x:f>
        <x:v>0</x:v>
      </x:c>
      <x:c r="M161" s="17" t="n">
        <x:v>0.4147834767362529</x:v>
      </x:c>
      <x:c r="N161" s="18" t="n">
        <x:v>40</x:v>
      </x:c>
      <x:c r="O161" s="17" t="n">
        <x:v>0.39722392987813837</x:v>
      </x:c>
      <x:c r="P161" s="11" t="n">
        <x:f>1/O161</x:f>
        <x:v>2.5174716948870204</x:v>
      </x:c>
      <x:c r="Q161" s="17" t="n">
        <x:v>2.678394514726848</x:v>
      </x:c>
      <x:c r="R161" s="11" t="n">
        <x:f>Q161/P161</x:f>
        <x:v>1.063922394903848</x:v>
      </x:c>
      <x:c r="S161" s="16" t="n">
        <x:f>COUNTIFS($R$8:$R$437,"&gt;"&amp;R161)+COUNTIFS($R$8:R161,R161)</x:f>
        <x:v>181</x:v>
      </x:c>
      <x:c r="T161" s="16" t="n">
        <x:f>IF(S161&lt;='Wyniki'!$B$6,1,0)</x:f>
        <x:v>0</x:v>
      </x:c>
    </x:row>
    <x:row r="162" ht="22" customHeight="1">
      <x:c r="A162" s="18" t="n">
        <x:v>155</x:v>
      </x:c>
      <x:c r="B162" s="17" t="n">
        <x:v>0.3204603830932389</x:v>
      </x:c>
      <x:c r="C162" s="17" t="n">
        <x:v>0.9527713829754694</x:v>
      </x:c>
      <x:c r="D162" s="18" t="n">
        <x:v>0</x:v>
      </x:c>
      <x:c r="E162" s="17" t="n">
        <x:v>0.22915695950543216</x:v>
      </x:c>
      <x:c r="F162" s="18" t="n">
        <x:v>10</x:v>
      </x:c>
      <x:c r="G162" s="17" t="n">
        <x:v>0.2627738805787205</x:v>
      </x:c>
      <x:c r="H162" s="11" t="n">
        <x:f>1/G162</x:f>
        <x:v>3.805553268070816</x:v>
      </x:c>
      <x:c r="I162" s="17" t="n">
        <x:v>4.597421418891857</x:v>
      </x:c>
      <x:c r="J162" s="11" t="n">
        <x:f>I162/H162</x:f>
        <x:v>1.2080822668979405</x:v>
      </x:c>
      <x:c r="K162" s="16" t="n">
        <x:f>COUNTIFS($J$8:$J$437,"&gt;"&amp;J162)+COUNTIFS($J$8:J162,J162)</x:f>
        <x:v>64</x:v>
      </x:c>
      <x:c r="L162" s="16" t="n">
        <x:f>IF(K162&lt;='Wyniki'!$B$6,1,0)</x:f>
        <x:v>0</x:v>
      </x:c>
      <x:c r="M162" s="17" t="n">
        <x:v>0.5212493308602355</x:v>
      </x:c>
      <x:c r="N162" s="18" t="n">
        <x:v>40</x:v>
      </x:c>
      <x:c r="O162" s="17" t="n">
        <x:v>0.48136248947399984</x:v>
      </x:c>
      <x:c r="P162" s="11" t="n">
        <x:f>1/O162</x:f>
        <x:v>2.077436488856313</x:v>
      </x:c>
      <x:c r="Q162" s="17" t="n">
        <x:v>2.4961072847556203</x:v>
      </x:c>
      <x:c r="R162" s="11" t="n">
        <x:f>Q162/P162</x:f>
        <x:v>1.2015324165841514</x:v>
      </x:c>
      <x:c r="S162" s="16" t="n">
        <x:f>COUNTIFS($R$8:$R$437,"&gt;"&amp;R162)+COUNTIFS($R$8:R162,R162)</x:f>
        <x:v>114</x:v>
      </x:c>
      <x:c r="T162" s="16" t="n">
        <x:f>IF(S162&lt;='Wyniki'!$B$6,1,0)</x:f>
        <x:v>0</x:v>
      </x:c>
    </x:row>
    <x:row r="163" ht="22" customHeight="1">
      <x:c r="A163" s="18" t="n">
        <x:v>156</x:v>
      </x:c>
      <x:c r="B163" s="17" t="n">
        <x:v>0.6475765389377316</x:v>
      </x:c>
      <x:c r="C163" s="17" t="n">
        <x:v>0.24149767341126693</x:v>
      </x:c>
      <x:c r="D163" s="18" t="n">
        <x:v>0</x:v>
      </x:c>
      <x:c r="E163" s="17" t="n">
        <x:v>0.16678926677071954</x:v>
      </x:c>
      <x:c r="F163" s="18" t="n">
        <x:v>10</x:v>
      </x:c>
      <x:c r="G163" s="17" t="n">
        <x:v>0.1633488358248251</x:v>
      </x:c>
      <x:c r="H163" s="11" t="n">
        <x:f>1/G163</x:f>
        <x:v>6.121867933435397</x:v>
      </x:c>
      <x:c r="I163" s="17" t="n">
        <x:v>6.466569912337905</x:v>
      </x:c>
      <x:c r="J163" s="11" t="n">
        <x:f>I163/H163</x:f>
        <x:v>1.056306666960238</x:v>
      </x:c>
      <x:c r="K163" s="16" t="n">
        <x:f>COUNTIFS($J$8:$J$437,"&gt;"&amp;J163)+COUNTIFS($J$8:J163,J163)</x:f>
        <x:v>166</x:v>
      </x:c>
      <x:c r="L163" s="16" t="n">
        <x:f>IF(K163&lt;='Wyniki'!$B$6,1,0)</x:f>
        <x:v>0</x:v>
      </x:c>
      <x:c r="M163" s="17" t="n">
        <x:v>0.3311918397566317</x:v>
      </x:c>
      <x:c r="N163" s="18" t="n">
        <x:v>40</x:v>
      </x:c>
      <x:c r="O163" s="17" t="n">
        <x:v>0.3246115456307468</x:v>
      </x:c>
      <x:c r="P163" s="11" t="n">
        <x:f>1/O163</x:f>
        <x:v>3.0806051524042934</x:v>
      </x:c>
      <x:c r="Q163" s="17" t="n">
        <x:v>3.1841380693327475</x:v>
      </x:c>
      <x:c r="R163" s="11" t="n">
        <x:f>Q163/P163</x:f>
        <x:v>1.033607980187805</x:v>
      </x:c>
      <x:c r="S163" s="16" t="n">
        <x:f>COUNTIFS($R$8:$R$437,"&gt;"&amp;R163)+COUNTIFS($R$8:R163,R163)</x:f>
        <x:v>219</x:v>
      </x:c>
      <x:c r="T163" s="16" t="n">
        <x:f>IF(S163&lt;='Wyniki'!$B$6,1,0)</x:f>
        <x:v>0</x:v>
      </x:c>
    </x:row>
    <x:row r="164" ht="22" customHeight="1">
      <x:c r="A164" s="18" t="n">
        <x:v>157</x:v>
      </x:c>
      <x:c r="B164" s="17" t="n">
        <x:v>0.9591639893922858</x:v>
      </x:c>
      <x:c r="C164" s="17" t="n">
        <x:v>0.24144623730606432</x:v>
      </x:c>
      <x:c r="D164" s="18" t="n">
        <x:v>0</x:v>
      </x:c>
      <x:c r="E164" s="17" t="n">
        <x:v>0.29251852929664185</x:v>
      </x:c>
      <x:c r="F164" s="18" t="n">
        <x:v>10</x:v>
      </x:c>
      <x:c r="G164" s="17" t="n">
        <x:v>0.2796381009330681</x:v>
      </x:c>
      <x:c r="H164" s="11" t="n">
        <x:f>1/G164</x:f>
        <x:v>3.576050604918647</x:v>
      </x:c>
      <x:c r="I164" s="17" t="n">
        <x:v>3.949924312042905</x:v>
      </x:c>
      <x:c r="J164" s="11" t="n">
        <x:f>I164/H164</x:f>
        <x:v>1.1045493334490335</x:v>
      </x:c>
      <x:c r="K164" s="16" t="n">
        <x:f>COUNTIFS($J$8:$J$437,"&gt;"&amp;J164)+COUNTIFS($J$8:J164,J164)</x:f>
        <x:v>109</x:v>
      </x:c>
      <x:c r="L164" s="16" t="n">
        <x:f>IF(K164&lt;='Wyniki'!$B$6,1,0)</x:f>
        <x:v>0</x:v>
      </x:c>
      <x:c r="M164" s="17" t="n">
        <x:v>0.5118402459407915</x:v>
      </x:c>
      <x:c r="N164" s="18" t="n">
        <x:v>40</x:v>
      </x:c>
      <x:c r="O164" s="17" t="n">
        <x:v>0.48565895474349097</x:v>
      </x:c>
      <x:c r="P164" s="11" t="n">
        <x:f>1/O164</x:f>
        <x:v>2.059058090523971</x:v>
      </x:c>
      <x:c r="Q164" s="17" t="n">
        <x:v>2.614053160415943</x:v>
      </x:c>
      <x:c r="R164" s="11" t="n">
        <x:f>Q164/P164</x:f>
        <x:v>1.2695383255315258</x:v>
      </x:c>
      <x:c r="S164" s="16" t="n">
        <x:f>COUNTIFS($R$8:$R$437,"&gt;"&amp;R164)+COUNTIFS($R$8:R164,R164)</x:f>
        <x:v>91</x:v>
      </x:c>
      <x:c r="T164" s="16" t="n">
        <x:f>IF(S164&lt;='Wyniki'!$B$6,1,0)</x:f>
        <x:v>0</x:v>
      </x:c>
    </x:row>
    <x:row r="165" ht="22" customHeight="1">
      <x:c r="A165" s="18" t="n">
        <x:v>158</x:v>
      </x:c>
      <x:c r="B165" s="17" t="n">
        <x:v>0.45539349723838246</x:v>
      </x:c>
      <x:c r="C165" s="17" t="n">
        <x:v>-0.16311402444408962</x:v>
      </x:c>
      <x:c r="D165" s="18" t="n">
        <x:v>0</x:v>
      </x:c>
      <x:c r="E165" s="17" t="n">
        <x:v>0.1384648381889917</x:v>
      </x:c>
      <x:c r="F165" s="18" t="n">
        <x:v>10</x:v>
      </x:c>
      <x:c r="G165" s="17" t="n">
        <x:v>0.13947953519809422</x:v>
      </x:c>
      <x:c r="H165" s="11" t="n">
        <x:f>1/G165</x:f>
        <x:v>7.169510556367723</x:v>
      </x:c>
      <x:c r="I165" s="17" t="n">
        <x:v>7.086867702239614</x:v>
      </x:c>
      <x:c r="J165" s="11" t="n">
        <x:f>I165/H165</x:f>
        <x:v>0.9884730131187673</x:v>
      </x:c>
      <x:c r="K165" s="16" t="n">
        <x:f>COUNTIFS($J$8:$J$437,"&gt;"&amp;J165)+COUNTIFS($J$8:J165,J165)</x:f>
        <x:v>353</x:v>
      </x:c>
      <x:c r="L165" s="16" t="n">
        <x:f>IF(K165&lt;='Wyniki'!$B$6,1,0)</x:f>
        <x:v>0</x:v>
      </x:c>
      <x:c r="M165" s="17" t="n">
        <x:v>0.31026362931288554</x:v>
      </x:c>
      <x:c r="N165" s="18" t="n">
        <x:v>40</x:v>
      </x:c>
      <x:c r="O165" s="17" t="n">
        <x:v>0.3103369503550532</x:v>
      </x:c>
      <x:c r="P165" s="11" t="n">
        <x:f>1/O165</x:f>
        <x:v>3.2223040113525334</x:v>
      </x:c>
      <x:c r="Q165" s="17" t="n">
        <x:v>3.310636028825553</x:v>
      </x:c>
      <x:c r="R165" s="11" t="n">
        <x:f>Q165/P165</x:f>
        <x:v>1.0274126889212862</x:v>
      </x:c>
      <x:c r="S165" s="16" t="n">
        <x:f>COUNTIFS($R$8:$R$437,"&gt;"&amp;R165)+COUNTIFS($R$8:R165,R165)</x:f>
        <x:v>229</x:v>
      </x:c>
      <x:c r="T165" s="16" t="n">
        <x:f>IF(S165&lt;='Wyniki'!$B$6,1,0)</x:f>
        <x:v>0</x:v>
      </x:c>
    </x:row>
    <x:row r="166" ht="22" customHeight="1">
      <x:c r="A166" s="18" t="n">
        <x:v>159</x:v>
      </x:c>
      <x:c r="B166" s="17" t="n">
        <x:v>0.036600198722562656</x:v>
      </x:c>
      <x:c r="C166" s="17" t="n">
        <x:v>-0.3835831028151523</x:v>
      </x:c>
      <x:c r="D166" s="18" t="n">
        <x:v>0</x:v>
      </x:c>
      <x:c r="E166" s="17" t="n">
        <x:v>0.1265602850111449</x:v>
      </x:c>
      <x:c r="F166" s="18" t="n">
        <x:v>10</x:v>
      </x:c>
      <x:c r="G166" s="17" t="n">
        <x:v>0.14577601548781488</x:v>
      </x:c>
      <x:c r="H166" s="11" t="n">
        <x:f>1/G166</x:f>
        <x:v>6.859839025327098</x:v>
      </x:c>
      <x:c r="I166" s="17" t="n">
        <x:v>7.0607098590641995</x:v>
      </x:c>
      <x:c r="J166" s="11" t="n">
        <x:f>I166/H166</x:f>
        <x:v>1.02928214976991</x:v>
      </x:c>
      <x:c r="K166" s="16" t="n">
        <x:f>COUNTIFS($J$8:$J$437,"&gt;"&amp;J166)+COUNTIFS($J$8:J166,J166)</x:f>
        <x:v>220</x:v>
      </x:c>
      <x:c r="L166" s="16" t="n">
        <x:f>IF(K166&lt;='Wyniki'!$B$6,1,0)</x:f>
        <x:v>0</x:v>
      </x:c>
      <x:c r="M166" s="17" t="n">
        <x:v>0.2832743763549569</x:v>
      </x:c>
      <x:c r="N166" s="18" t="n">
        <x:v>40</x:v>
      </x:c>
      <x:c r="O166" s="17" t="n">
        <x:v>0.29681565893036294</x:v>
      </x:c>
      <x:c r="P166" s="11" t="n">
        <x:f>1/O166</x:f>
        <x:v>3.369094486469172</x:v>
      </x:c>
      <x:c r="Q166" s="17" t="n">
        <x:v>3.335761325542195</x:v>
      </x:c>
      <x:c r="R166" s="11" t="n">
        <x:f>Q166/P166</x:f>
        <x:v>0.9901061958752275</x:v>
      </x:c>
      <x:c r="S166" s="16" t="n">
        <x:f>COUNTIFS($R$8:$R$437,"&gt;"&amp;R166)+COUNTIFS($R$8:R166,R166)</x:f>
        <x:v>346</x:v>
      </x:c>
      <x:c r="T166" s="16" t="n">
        <x:f>IF(S166&lt;='Wyniki'!$B$6,1,0)</x:f>
        <x:v>0</x:v>
      </x:c>
    </x:row>
    <x:row r="167" ht="22" customHeight="1">
      <x:c r="A167" s="18" t="n">
        <x:v>160</x:v>
      </x:c>
      <x:c r="B167" s="17" t="n">
        <x:v>0.5442711640271692</x:v>
      </x:c>
      <x:c r="C167" s="17" t="n">
        <x:v>-0.6480669927131761</x:v>
      </x:c>
      <x:c r="D167" s="18" t="n">
        <x:v>0</x:v>
      </x:c>
      <x:c r="E167" s="17" t="n">
        <x:v>0.31711319066884913</x:v>
      </x:c>
      <x:c r="F167" s="18" t="n">
        <x:v>10</x:v>
      </x:c>
      <x:c r="G167" s="17" t="n">
        <x:v>0.2829837838282419</x:v>
      </x:c>
      <x:c r="H167" s="11" t="n">
        <x:f>1/G167</x:f>
        <x:v>3.5337713930878594</x:v>
      </x:c>
      <x:c r="I167" s="17" t="n">
        <x:v>3.7623711497012584</x:v>
      </x:c>
      <x:c r="J167" s="11" t="n">
        <x:f>I167/H167</x:f>
        <x:v>1.0646900241086747</x:v>
      </x:c>
      <x:c r="K167" s="16" t="n">
        <x:f>COUNTIFS($J$8:$J$437,"&gt;"&amp;J167)+COUNTIFS($J$8:J167,J167)</x:f>
        <x:v>156</x:v>
      </x:c>
      <x:c r="L167" s="16" t="n">
        <x:f>IF(K167&lt;='Wyniki'!$B$6,1,0)</x:f>
        <x:v>0</x:v>
      </x:c>
      <x:c r="M167" s="17" t="n">
        <x:v>0.48571277880203917</x:v>
      </x:c>
      <x:c r="N167" s="18" t="n">
        <x:v>40</x:v>
      </x:c>
      <x:c r="O167" s="17" t="n">
        <x:v>0.464791033508848</x:v>
      </x:c>
      <x:c r="P167" s="11" t="n">
        <x:f>1/O167</x:f>
        <x:v>2.1515044996688033</x:v>
      </x:c>
      <x:c r="Q167" s="17" t="n">
        <x:v>2.625628215216492</x:v>
      </x:c>
      <x:c r="R167" s="11" t="n">
        <x:f>Q167/P167</x:f>
        <x:v>1.2203684517604654</x:v>
      </x:c>
      <x:c r="S167" s="16" t="n">
        <x:f>COUNTIFS($R$8:$R$437,"&gt;"&amp;R167)+COUNTIFS($R$8:R167,R167)</x:f>
        <x:v>105</x:v>
      </x:c>
      <x:c r="T167" s="16" t="n">
        <x:f>IF(S167&lt;='Wyniki'!$B$6,1,0)</x:f>
        <x:v>0</x:v>
      </x:c>
    </x:row>
    <x:row r="168" ht="22" customHeight="1">
      <x:c r="A168" s="18" t="n">
        <x:v>161</x:v>
      </x:c>
      <x:c r="B168" s="17" t="n">
        <x:v>0.4302926883297138</x:v>
      </x:c>
      <x:c r="C168" s="17" t="n">
        <x:v>-0.1048580816278377</x:v>
      </x:c>
      <x:c r="D168" s="18" t="n">
        <x:v>0</x:v>
      </x:c>
      <x:c r="E168" s="17" t="n">
        <x:v>0.1284967917186111</x:v>
      </x:c>
      <x:c r="F168" s="18" t="n">
        <x:v>10</x:v>
      </x:c>
      <x:c r="G168" s="17" t="n">
        <x:v>0.13787006473116106</x:v>
      </x:c>
      <x:c r="H168" s="11" t="n">
        <x:f>1/G168</x:f>
        <x:v>7.253206139780556</x:v>
      </x:c>
      <x:c r="I168" s="17" t="n">
        <x:v>7.272678348777404</x:v>
      </x:c>
      <x:c r="J168" s="11" t="n">
        <x:f>I168/H168</x:f>
        <x:v>1.0026846347148541</x:v>
      </x:c>
      <x:c r="K168" s="16" t="n">
        <x:f>COUNTIFS($J$8:$J$437,"&gt;"&amp;J168)+COUNTIFS($J$8:J168,J168)</x:f>
        <x:v>299</x:v>
      </x:c>
      <x:c r="L168" s="16" t="n">
        <x:f>IF(K168&lt;='Wyniki'!$B$6,1,0)</x:f>
        <x:v>0</x:v>
      </x:c>
      <x:c r="M168" s="17" t="n">
        <x:v>0.29845268665910535</x:v>
      </x:c>
      <x:c r="N168" s="18" t="n">
        <x:v>40</x:v>
      </x:c>
      <x:c r="O168" s="17" t="n">
        <x:v>0.29546225022167594</x:v>
      </x:c>
      <x:c r="P168" s="11" t="n">
        <x:f>1/O168</x:f>
        <x:v>3.3845271240225503</x:v>
      </x:c>
      <x:c r="Q168" s="17" t="n">
        <x:v>3.403783943807663</x:v>
      </x:c>
      <x:c r="R168" s="11" t="n">
        <x:f>Q168/P168</x:f>
        <x:v>1.0056896633058228</x:v>
      </x:c>
      <x:c r="S168" s="16" t="n">
        <x:f>COUNTIFS($R$8:$R$437,"&gt;"&amp;R168)+COUNTIFS($R$8:R168,R168)</x:f>
        <x:v>283</x:v>
      </x:c>
      <x:c r="T168" s="16" t="n">
        <x:f>IF(S168&lt;='Wyniki'!$B$6,1,0)</x:f>
        <x:v>0</x:v>
      </x:c>
    </x:row>
    <x:row r="169" ht="22" customHeight="1">
      <x:c r="A169" s="18" t="n">
        <x:v>162</x:v>
      </x:c>
      <x:c r="B169" s="17" t="n">
        <x:v>0.6441859014070257</x:v>
      </x:c>
      <x:c r="C169" s="17" t="n">
        <x:v>0.41297794380219294</x:v>
      </x:c>
      <x:c r="D169" s="18" t="n">
        <x:v>0</x:v>
      </x:c>
      <x:c r="E169" s="17" t="n">
        <x:v>0.20450833337580868</x:v>
      </x:c>
      <x:c r="F169" s="18" t="n">
        <x:v>10</x:v>
      </x:c>
      <x:c r="G169" s="17" t="n">
        <x:v>0.19550528037800113</x:v>
      </x:c>
      <x:c r="H169" s="11" t="n">
        <x:f>1/G169</x:f>
        <x:v>5.114951361244784</x:v>
      </x:c>
      <x:c r="I169" s="17" t="n">
        <x:v>5.464298422290675</x:v>
      </x:c>
      <x:c r="J169" s="11" t="n">
        <x:f>I169/H169</x:f>
        <x:v>1.0682991951190075</x:v>
      </x:c>
      <x:c r="K169" s="16" t="n">
        <x:f>COUNTIFS($J$8:$J$437,"&gt;"&amp;J169)+COUNTIFS($J$8:J169,J169)</x:f>
        <x:v>149</x:v>
      </x:c>
      <x:c r="L169" s="16" t="n">
        <x:f>IF(K169&lt;='Wyniki'!$B$6,1,0)</x:f>
        <x:v>0</x:v>
      </x:c>
      <x:c r="M169" s="17" t="n">
        <x:v>0.3653016176355719</x:v>
      </x:c>
      <x:c r="N169" s="18" t="n">
        <x:v>40</x:v>
      </x:c>
      <x:c r="O169" s="17" t="n">
        <x:v>0.35787852697378614</x:v>
      </x:c>
      <x:c r="P169" s="11" t="n">
        <x:f>1/O169</x:f>
        <x:v>2.7942442047472937</x:v>
      </x:c>
      <x:c r="Q169" s="17" t="n">
        <x:v>3.0537305972455635</x:v>
      </x:c>
      <x:c r="R169" s="11" t="n">
        <x:f>Q169/P169</x:f>
        <x:v>1.0928646079170226</x:v>
      </x:c>
      <x:c r="S169" s="16" t="n">
        <x:f>COUNTIFS($R$8:$R$437,"&gt;"&amp;R169)+COUNTIFS($R$8:R169,R169)</x:f>
        <x:v>157</x:v>
      </x:c>
      <x:c r="T169" s="16" t="n">
        <x:f>IF(S169&lt;='Wyniki'!$B$6,1,0)</x:f>
        <x:v>0</x:v>
      </x:c>
    </x:row>
    <x:row r="170" ht="22" customHeight="1">
      <x:c r="A170" s="18" t="n">
        <x:v>163</x:v>
      </x:c>
      <x:c r="B170" s="17" t="n">
        <x:v>1.001355386705741</x:v>
      </x:c>
      <x:c r="C170" s="17" t="n">
        <x:v>0.4019260801262547</x:v>
      </x:c>
      <x:c r="D170" s="18" t="n">
        <x:v>0</x:v>
      </x:c>
      <x:c r="E170" s="17" t="n">
        <x:v>0.3408855861043426</x:v>
      </x:c>
      <x:c r="F170" s="18" t="n">
        <x:v>10</x:v>
      </x:c>
      <x:c r="G170" s="17" t="n">
        <x:v>0.30463747480864073</x:v>
      </x:c>
      <x:c r="H170" s="11" t="n">
        <x:f>1/G170</x:f>
        <x:v>3.282590234928103</x:v>
      </x:c>
      <x:c r="I170" s="17" t="n">
        <x:v>3.6316968345928204</x:v>
      </x:c>
      <x:c r="J170" s="11" t="n">
        <x:f>I170/H170</x:f>
        <x:v>1.1063509529608906</x:v>
      </x:c>
      <x:c r="K170" s="16" t="n">
        <x:f>COUNTIFS($J$8:$J$437,"&gt;"&amp;J170)+COUNTIFS($J$8:J170,J170)</x:f>
        <x:v>108</x:v>
      </x:c>
      <x:c r="L170" s="16" t="n">
        <x:f>IF(K170&lt;='Wyniki'!$B$6,1,0)</x:f>
        <x:v>0</x:v>
      </x:c>
      <x:c r="M170" s="17" t="n">
        <x:v>0.5797435674054147</x:v>
      </x:c>
      <x:c r="N170" s="18" t="n">
        <x:v>40</x:v>
      </x:c>
      <x:c r="O170" s="17" t="n">
        <x:v>0.5195761256466319</x:v>
      </x:c>
      <x:c r="P170" s="11" t="n">
        <x:f>1/O170</x:f>
        <x:v>1.9246457845911658</x:v>
      </x:c>
      <x:c r="Q170" s="17" t="n">
        <x:v>2.6097594567968208</x:v>
      </x:c>
      <x:c r="R170" s="11" t="n">
        <x:f>Q170/P170</x:f>
        <x:v>1.3559687074321507</x:v>
      </x:c>
      <x:c r="S170" s="16" t="n">
        <x:f>COUNTIFS($R$8:$R$437,"&gt;"&amp;R170)+COUNTIFS($R$8:R170,R170)</x:f>
        <x:v>70</x:v>
      </x:c>
      <x:c r="T170" s="16" t="n">
        <x:f>IF(S170&lt;='Wyniki'!$B$6,1,0)</x:f>
        <x:v>0</x:v>
      </x:c>
    </x:row>
    <x:row r="171" ht="22" customHeight="1">
      <x:c r="A171" s="18" t="n">
        <x:v>164</x:v>
      </x:c>
      <x:c r="B171" s="17" t="n">
        <x:v>-0.8646221406092824</x:v>
      </x:c>
      <x:c r="C171" s="17" t="n">
        <x:v>-0.036824245094010465</x:v>
      </x:c>
      <x:c r="D171" s="18" t="n">
        <x:v>0</x:v>
      </x:c>
      <x:c r="E171" s="17" t="n">
        <x:v>0.23979729269197037</x:v>
      </x:c>
      <x:c r="F171" s="18" t="n">
        <x:v>10</x:v>
      </x:c>
      <x:c r="G171" s="17" t="n">
        <x:v>0.22209815156495388</x:v>
      </x:c>
      <x:c r="H171" s="11" t="n">
        <x:f>1/G171</x:f>
        <x:v>4.502513834328532</x:v>
      </x:c>
      <x:c r="I171" s="17" t="n">
        <x:v>4.472211368779454</x:v>
      </x:c>
      <x:c r="J171" s="11" t="n">
        <x:f>I171/H171</x:f>
        <x:v>0.9932698784136891</x:v>
      </x:c>
      <x:c r="K171" s="16" t="n">
        <x:f>COUNTIFS($J$8:$J$437,"&gt;"&amp;J171)+COUNTIFS($J$8:J171,J171)</x:f>
        <x:v>336</x:v>
      </x:c>
      <x:c r="L171" s="16" t="n">
        <x:f>IF(K171&lt;='Wyniki'!$B$6,1,0)</x:f>
        <x:v>0</x:v>
      </x:c>
      <x:c r="M171" s="17" t="n">
        <x:v>0.4087968881695839</x:v>
      </x:c>
      <x:c r="N171" s="18" t="n">
        <x:v>40</x:v>
      </x:c>
      <x:c r="O171" s="17" t="n">
        <x:v>0.42331140858894145</x:v>
      </x:c>
      <x:c r="P171" s="11" t="n">
        <x:f>1/O171</x:f>
        <x:v>2.3623270710642594</x:v>
      </x:c>
      <x:c r="Q171" s="17" t="n">
        <x:v>2.536061049478787</x:v>
      </x:c>
      <x:c r="R171" s="11" t="n">
        <x:f>Q171/P171</x:f>
        <x:v>1.0735435751224145</x:v>
      </x:c>
      <x:c r="S171" s="16" t="n">
        <x:f>COUNTIFS($R$8:$R$437,"&gt;"&amp;R171)+COUNTIFS($R$8:R171,R171)</x:f>
        <x:v>169</x:v>
      </x:c>
      <x:c r="T171" s="16" t="n">
        <x:f>IF(S171&lt;='Wyniki'!$B$6,1,0)</x:f>
        <x:v>0</x:v>
      </x:c>
    </x:row>
    <x:row r="172" ht="22" customHeight="1">
      <x:c r="A172" s="18" t="n">
        <x:v>165</x:v>
      </x:c>
      <x:c r="B172" s="17" t="n">
        <x:v>-0.6446039559271488</x:v>
      </x:c>
      <x:c r="C172" s="17" t="n">
        <x:v>-0.2850539133014511</x:v>
      </x:c>
      <x:c r="D172" s="18" t="n">
        <x:v>0</x:v>
      </x:c>
      <x:c r="E172" s="17" t="n">
        <x:v>0.1792935476244933</x:v>
      </x:c>
      <x:c r="F172" s="18" t="n">
        <x:v>10</x:v>
      </x:c>
      <x:c r="G172" s="17" t="n">
        <x:v>0.17744887173164722</x:v>
      </x:c>
      <x:c r="H172" s="11" t="n">
        <x:f>1/G172</x:f>
        <x:v>5.6354260821239945</x:v>
      </x:c>
      <x:c r="I172" s="17" t="n">
        <x:v>6.170901014818576</x:v>
      </x:c>
      <x:c r="J172" s="11" t="n">
        <x:f>I172/H172</x:f>
        <x:v>1.0950194226472332</x:v>
      </x:c>
      <x:c r="K172" s="16" t="n">
        <x:f>COUNTIFS($J$8:$J$437,"&gt;"&amp;J172)+COUNTIFS($J$8:J172,J172)</x:f>
        <x:v>121</x:v>
      </x:c>
      <x:c r="L172" s="16" t="n">
        <x:f>IF(K172&lt;='Wyniki'!$B$6,1,0)</x:f>
        <x:v>0</x:v>
      </x:c>
      <x:c r="M172" s="17" t="n">
        <x:v>0.3689519508799932</x:v>
      </x:c>
      <x:c r="N172" s="18" t="n">
        <x:v>40</x:v>
      </x:c>
      <x:c r="O172" s="17" t="n">
        <x:v>0.37314156902210016</x:v>
      </x:c>
      <x:c r="P172" s="11" t="n">
        <x:f>1/O172</x:f>
        <x:v>2.679947995664811</x:v>
      </x:c>
      <x:c r="Q172" s="17" t="n">
        <x:v>2.6964973035566597</x:v>
      </x:c>
      <x:c r="R172" s="11" t="n">
        <x:f>Q172/P172</x:f>
        <x:v>1.0061752347129942</x:v>
      </x:c>
      <x:c r="S172" s="16" t="n">
        <x:f>COUNTIFS($R$8:$R$437,"&gt;"&amp;R172)+COUNTIFS($R$8:R172,R172)</x:f>
        <x:v>280</x:v>
      </x:c>
      <x:c r="T172" s="16" t="n">
        <x:f>IF(S172&lt;='Wyniki'!$B$6,1,0)</x:f>
        <x:v>0</x:v>
      </x:c>
    </x:row>
    <x:row r="173" ht="22" customHeight="1">
      <x:c r="A173" s="18" t="n">
        <x:v>166</x:v>
      </x:c>
      <x:c r="B173" s="17" t="n">
        <x:v>0.831175638302197</x:v>
      </x:c>
      <x:c r="C173" s="17" t="n">
        <x:v>0.35064359599373285</x:v>
      </x:c>
      <x:c r="D173" s="18" t="n">
        <x:v>0</x:v>
      </x:c>
      <x:c r="E173" s="17" t="n">
        <x:v>0.21359181094747168</x:v>
      </x:c>
      <x:c r="F173" s="18" t="n">
        <x:v>10</x:v>
      </x:c>
      <x:c r="G173" s="17" t="n">
        <x:v>0.260493322730846</x:v>
      </x:c>
      <x:c r="H173" s="11" t="n">
        <x:f>1/G173</x:f>
        <x:v>3.8388699929681005</x:v>
      </x:c>
      <x:c r="I173" s="17" t="n">
        <x:v>4.326454078355949</x:v>
      </x:c>
      <x:c r="J173" s="11" t="n">
        <x:f>I173/H173</x:f>
        <x:v>1.1270123985133613</x:v>
      </x:c>
      <x:c r="K173" s="16" t="n">
        <x:f>COUNTIFS($J$8:$J$437,"&gt;"&amp;J173)+COUNTIFS($J$8:J173,J173)</x:f>
        <x:v>98</x:v>
      </x:c>
      <x:c r="L173" s="16" t="n">
        <x:f>IF(K173&lt;='Wyniki'!$B$6,1,0)</x:f>
        <x:v>0</x:v>
      </x:c>
      <x:c r="M173" s="17" t="n">
        <x:v>0.4426242224369479</x:v>
      </x:c>
      <x:c r="N173" s="18" t="n">
        <x:v>40</x:v>
      </x:c>
      <x:c r="O173" s="17" t="n">
        <x:v>0.4264125469585391</x:v>
      </x:c>
      <x:c r="P173" s="11" t="n">
        <x:f>1/O173</x:f>
        <x:v>2.345146753144747</x:v>
      </x:c>
      <x:c r="Q173" s="17" t="n">
        <x:v>2.868641044187427</x:v>
      </x:c>
      <x:c r="R173" s="11" t="n">
        <x:f>Q173/P173</x:f>
        <x:v>1.2232245339617638</x:v>
      </x:c>
      <x:c r="S173" s="16" t="n">
        <x:f>COUNTIFS($R$8:$R$437,"&gt;"&amp;R173)+COUNTIFS($R$8:R173,R173)</x:f>
        <x:v>103</x:v>
      </x:c>
      <x:c r="T173" s="16" t="n">
        <x:f>IF(S173&lt;='Wyniki'!$B$6,1,0)</x:f>
        <x:v>0</x:v>
      </x:c>
    </x:row>
    <x:row r="174" ht="22" customHeight="1">
      <x:c r="A174" s="18" t="n">
        <x:v>167</x:v>
      </x:c>
      <x:c r="B174" s="17" t="n">
        <x:v>-0.3844117357183105</x:v>
      </x:c>
      <x:c r="C174" s="17" t="n">
        <x:v>-0.5575445515422195</x:v>
      </x:c>
      <x:c r="D174" s="18" t="n">
        <x:v>0</x:v>
      </x:c>
      <x:c r="E174" s="17" t="n">
        <x:v>0.15045305591942207</x:v>
      </x:c>
      <x:c r="F174" s="18" t="n">
        <x:v>10</x:v>
      </x:c>
      <x:c r="G174" s="17" t="n">
        <x:v>0.16232992702740884</x:v>
      </x:c>
      <x:c r="H174" s="11" t="n">
        <x:f>1/G174</x:f>
        <x:v>6.160293534975553</x:v>
      </x:c>
      <x:c r="I174" s="17" t="n">
        <x:v>6.1082918432560565</x:v>
      </x:c>
      <x:c r="J174" s="11" t="n">
        <x:f>I174/H174</x:f>
        <x:v>0.9915585691778723</x:v>
      </x:c>
      <x:c r="K174" s="16" t="n">
        <x:f>COUNTIFS($J$8:$J$437,"&gt;"&amp;J174)+COUNTIFS($J$8:J174,J174)</x:f>
        <x:v>344</x:v>
      </x:c>
      <x:c r="L174" s="16" t="n">
        <x:f>IF(K174&lt;='Wyniki'!$B$6,1,0)</x:f>
        <x:v>0</x:v>
      </x:c>
      <x:c r="M174" s="17" t="n">
        <x:v>0.34319262836857706</x:v>
      </x:c>
      <x:c r="N174" s="18" t="n">
        <x:v>40</x:v>
      </x:c>
      <x:c r="O174" s="17" t="n">
        <x:v>0.36350517991098924</x:v>
      </x:c>
      <x:c r="P174" s="11" t="n">
        <x:f>1/O174</x:f>
        <x:v>2.7509924349492567</x:v>
      </x:c>
      <x:c r="Q174" s="17" t="n">
        <x:v>2.7838691812780807</x:v>
      </x:c>
      <x:c r="R174" s="11" t="n">
        <x:f>Q174/P174</x:f>
        <x:v>1.011950867589147</x:v>
      </x:c>
      <x:c r="S174" s="16" t="n">
        <x:f>COUNTIFS($R$8:$R$437,"&gt;"&amp;R174)+COUNTIFS($R$8:R174,R174)</x:f>
        <x:v>259</x:v>
      </x:c>
      <x:c r="T174" s="16" t="n">
        <x:f>IF(S174&lt;='Wyniki'!$B$6,1,0)</x:f>
        <x:v>0</x:v>
      </x:c>
    </x:row>
    <x:row r="175" ht="22" customHeight="1">
      <x:c r="A175" s="18" t="n">
        <x:v>168</x:v>
      </x:c>
      <x:c r="B175" s="17" t="n">
        <x:v>0.018030151081943436</x:v>
      </x:c>
      <x:c r="C175" s="17" t="n">
        <x:v>-0.6691080821596204</x:v>
      </x:c>
      <x:c r="D175" s="18" t="n">
        <x:v>0</x:v>
      </x:c>
      <x:c r="E175" s="17" t="n">
        <x:v>0.15695461374065137</x:v>
      </x:c>
      <x:c r="F175" s="18" t="n">
        <x:v>10</x:v>
      </x:c>
      <x:c r="G175" s="17" t="n">
        <x:v>0.16714544447521823</x:v>
      </x:c>
      <x:c r="H175" s="11" t="n">
        <x:f>1/G175</x:f>
        <x:v>5.982813370353415</x:v>
      </x:c>
      <x:c r="I175" s="17" t="n">
        <x:v>5.967227677210443</x:v>
      </x:c>
      <x:c r="J175" s="11" t="n">
        <x:f>I175/H175</x:f>
        <x:v>0.9973949223921635</x:v>
      </x:c>
      <x:c r="K175" s="16" t="n">
        <x:f>COUNTIFS($J$8:$J$437,"&gt;"&amp;J175)+COUNTIFS($J$8:J175,J175)</x:f>
        <x:v>321</x:v>
      </x:c>
      <x:c r="L175" s="16" t="n">
        <x:f>IF(K175&lt;='Wyniki'!$B$6,1,0)</x:f>
        <x:v>0</x:v>
      </x:c>
      <x:c r="M175" s="17" t="n">
        <x:v>0.35491690172707174</x:v>
      </x:c>
      <x:c r="N175" s="18" t="n">
        <x:v>40</x:v>
      </x:c>
      <x:c r="O175" s="17" t="n">
        <x:v>0.35492616370458785</x:v>
      </x:c>
      <x:c r="P175" s="11" t="n">
        <x:f>1/O175</x:f>
        <x:v>2.817487416431548</x:v>
      </x:c>
      <x:c r="Q175" s="17" t="n">
        <x:v>2.9119927229603104</x:v>
      </x:c>
      <x:c r="R175" s="11" t="n">
        <x:f>Q175/P175</x:f>
        <x:v>1.0335424058959797</x:v>
      </x:c>
      <x:c r="S175" s="16" t="n">
        <x:f>COUNTIFS($R$8:$R$437,"&gt;"&amp;R175)+COUNTIFS($R$8:R175,R175)</x:f>
        <x:v>220</x:v>
      </x:c>
      <x:c r="T175" s="16" t="n">
        <x:f>IF(S175&lt;='Wyniki'!$B$6,1,0)</x:f>
        <x:v>0</x:v>
      </x:c>
    </x:row>
    <x:row r="176" ht="22" customHeight="1">
      <x:c r="A176" s="18" t="n">
        <x:v>169</x:v>
      </x:c>
      <x:c r="B176" s="17" t="n">
        <x:v>-0.3691271525681196</x:v>
      </x:c>
      <x:c r="C176" s="17" t="n">
        <x:v>0.17160520935318413</x:v>
      </x:c>
      <x:c r="D176" s="18" t="n">
        <x:v>0</x:v>
      </x:c>
      <x:c r="E176" s="17" t="n">
        <x:v>0.14471488344868316</x:v>
      </x:c>
      <x:c r="F176" s="18" t="n">
        <x:v>10</x:v>
      </x:c>
      <x:c r="G176" s="17" t="n">
        <x:v>0.1386421770165554</x:v>
      </x:c>
      <x:c r="H176" s="11" t="n">
        <x:f>1/G176</x:f>
        <x:v>7.212812302280777</x:v>
      </x:c>
      <x:c r="I176" s="17" t="n">
        <x:v>7.244553943978305</x:v>
      </x:c>
      <x:c r="J176" s="11" t="n">
        <x:f>I176/H176</x:f>
        <x:v>1.0044007303070248</x:v>
      </x:c>
      <x:c r="K176" s="16" t="n">
        <x:f>COUNTIFS($J$8:$J$437,"&gt;"&amp;J176)+COUNTIFS($J$8:J176,J176)</x:f>
        <x:v>289</x:v>
      </x:c>
      <x:c r="L176" s="16" t="n">
        <x:f>IF(K176&lt;='Wyniki'!$B$6,1,0)</x:f>
        <x:v>0</x:v>
      </x:c>
      <x:c r="M176" s="17" t="n">
        <x:v>0.28339650145684836</x:v>
      </x:c>
      <x:c r="N176" s="18" t="n">
        <x:v>40</x:v>
      </x:c>
      <x:c r="O176" s="17" t="n">
        <x:v>0.3016863756509168</x:v>
      </x:c>
      <x:c r="P176" s="11" t="n">
        <x:f>1/O176</x:f>
        <x:v>3.314700565587046</x:v>
      </x:c>
      <x:c r="Q176" s="17" t="n">
        <x:v>3.3182097719304906</x:v>
      </x:c>
      <x:c r="R176" s="11" t="n">
        <x:f>Q176/P176</x:f>
        <x:v>1.001058679743165</x:v>
      </x:c>
      <x:c r="S176" s="16" t="n">
        <x:f>COUNTIFS($R$8:$R$437,"&gt;"&amp;R176)+COUNTIFS($R$8:R176,R176)</x:f>
        <x:v>309</x:v>
      </x:c>
      <x:c r="T176" s="16" t="n">
        <x:f>IF(S176&lt;='Wyniki'!$B$6,1,0)</x:f>
        <x:v>0</x:v>
      </x:c>
    </x:row>
    <x:row r="177" ht="22" customHeight="1">
      <x:c r="A177" s="18" t="n">
        <x:v>170</x:v>
      </x:c>
      <x:c r="B177" s="17" t="n">
        <x:v>0.635421619858683</x:v>
      </x:c>
      <x:c r="C177" s="17" t="n">
        <x:v>0.3348188097234419</x:v>
      </x:c>
      <x:c r="D177" s="18" t="n">
        <x:v>0</x:v>
      </x:c>
      <x:c r="E177" s="17" t="n">
        <x:v>0.18641122160558088</x:v>
      </x:c>
      <x:c r="F177" s="18" t="n">
        <x:v>10</x:v>
      </x:c>
      <x:c r="G177" s="17" t="n">
        <x:v>0.17192924843161195</x:v>
      </x:c>
      <x:c r="H177" s="11" t="n">
        <x:f>1/G177</x:f>
        <x:v>5.816346020949243</x:v>
      </x:c>
      <x:c r="I177" s="17" t="n">
        <x:v>6.558711072904201</x:v>
      </x:c>
      <x:c r="J177" s="11" t="n">
        <x:f>I177/H177</x:f>
        <x:v>1.1276342654445104</x:v>
      </x:c>
      <x:c r="K177" s="16" t="n">
        <x:f>COUNTIFS($J$8:$J$437,"&gt;"&amp;J177)+COUNTIFS($J$8:J177,J177)</x:f>
        <x:v>96</x:v>
      </x:c>
      <x:c r="L177" s="16" t="n">
        <x:f>IF(K177&lt;='Wyniki'!$B$6,1,0)</x:f>
        <x:v>0</x:v>
      </x:c>
      <x:c r="M177" s="17" t="n">
        <x:v>0.33948110715097624</x:v>
      </x:c>
      <x:c r="N177" s="18" t="n">
        <x:v>40</x:v>
      </x:c>
      <x:c r="O177" s="17" t="n">
        <x:v>0.3311082383039786</x:v>
      </x:c>
      <x:c r="P177" s="11" t="n">
        <x:f>1/O177</x:f>
        <x:v>3.0201604318945874</x:v>
      </x:c>
      <x:c r="Q177" s="17" t="n">
        <x:v>3.1390876136231882</x:v>
      </x:c>
      <x:c r="R177" s="11" t="n">
        <x:f>Q177/P177</x:f>
        <x:v>1.0393777696286142</x:v>
      </x:c>
      <x:c r="S177" s="16" t="n">
        <x:f>COUNTIFS($R$8:$R$437,"&gt;"&amp;R177)+COUNTIFS($R$8:R177,R177)</x:f>
        <x:v>210</x:v>
      </x:c>
      <x:c r="T177" s="16" t="n">
        <x:f>IF(S177&lt;='Wyniki'!$B$6,1,0)</x:f>
        <x:v>0</x:v>
      </x:c>
    </x:row>
    <x:row r="178" ht="22" customHeight="1">
      <x:c r="A178" s="18" t="n">
        <x:v>171</x:v>
      </x:c>
      <x:c r="B178" s="17" t="n">
        <x:v>-1.260209229728955</x:v>
      </x:c>
      <x:c r="C178" s="17" t="n">
        <x:v>0.1674017009666429</x:v>
      </x:c>
      <x:c r="D178" s="18" t="n">
        <x:v>0</x:v>
      </x:c>
      <x:c r="E178" s="17" t="n">
        <x:v>0.43344034391798425</x:v>
      </x:c>
      <x:c r="F178" s="18" t="n">
        <x:v>10</x:v>
      </x:c>
      <x:c r="G178" s="17" t="n">
        <x:v>0.35608765059225345</x:v>
      </x:c>
      <x:c r="H178" s="11" t="n">
        <x:f>1/G178</x:f>
        <x:v>2.8082973344814857</x:v>
      </x:c>
      <x:c r="I178" s="17" t="n">
        <x:v>3.6753218971137436</x:v>
      </x:c>
      <x:c r="J178" s="11" t="n">
        <x:f>I178/H178</x:f>
        <x:v>1.3087367395134968</x:v>
      </x:c>
      <x:c r="K178" s="16" t="n">
        <x:f>COUNTIFS($J$8:$J$437,"&gt;"&amp;J178)+COUNTIFS($J$8:J178,J178)</x:f>
        <x:v>42</x:v>
      </x:c>
      <x:c r="L178" s="16" t="n">
        <x:f>IF(K178&lt;='Wyniki'!$B$6,1,0)</x:f>
        <x:v>0</x:v>
      </x:c>
      <x:c r="M178" s="17" t="n">
        <x:v>0.7619250858863125</x:v>
      </x:c>
      <x:c r="N178" s="18" t="n">
        <x:v>40</x:v>
      </x:c>
      <x:c r="O178" s="17" t="n">
        <x:v>0.6176075525377996</x:v>
      </x:c>
      <x:c r="P178" s="11" t="n">
        <x:f>1/O178</x:f>
        <x:v>1.619151184098897</x:v>
      </x:c>
      <x:c r="Q178" s="17" t="n">
        <x:v>2.2745202899623074</x:v>
      </x:c>
      <x:c r="R178" s="11" t="n">
        <x:f>Q178/P178</x:f>
        <x:v>1.404760909481187</x:v>
      </x:c>
      <x:c r="S178" s="16" t="n">
        <x:f>COUNTIFS($R$8:$R$437,"&gt;"&amp;R178)+COUNTIFS($R$8:R178,R178)</x:f>
        <x:v>65</x:v>
      </x:c>
      <x:c r="T178" s="16" t="n">
        <x:f>IF(S178&lt;='Wyniki'!$B$6,1,0)</x:f>
        <x:v>0</x:v>
      </x:c>
    </x:row>
    <x:row r="179" ht="22" customHeight="1">
      <x:c r="A179" s="18" t="n">
        <x:v>172</x:v>
      </x:c>
      <x:c r="B179" s="17" t="n">
        <x:v>0.03961846527791786</x:v>
      </x:c>
      <x:c r="C179" s="17" t="n">
        <x:v>0.2276396569549812</x:v>
      </x:c>
      <x:c r="D179" s="18" t="n">
        <x:v>0</x:v>
      </x:c>
      <x:c r="E179" s="17" t="n">
        <x:v>0.1206970027898646</x:v>
      </x:c>
      <x:c r="F179" s="18" t="n">
        <x:v>10</x:v>
      </x:c>
      <x:c r="G179" s="17" t="n">
        <x:v>0.12520512765720263</x:v>
      </x:c>
      <x:c r="H179" s="11" t="n">
        <x:f>1/G179</x:f>
        <x:v>7.986893338249581</x:v>
      </x:c>
      <x:c r="I179" s="17" t="n">
        <x:v>8.318917525410797</x:v>
      </x:c>
      <x:c r="J179" s="11" t="n">
        <x:f>I179/H179</x:f>
        <x:v>1.041571130738799</x:v>
      </x:c>
      <x:c r="K179" s="16" t="n">
        <x:f>COUNTIFS($J$8:$J$437,"&gt;"&amp;J179)+COUNTIFS($J$8:J179,J179)</x:f>
        <x:v>192</x:v>
      </x:c>
      <x:c r="L179" s="16" t="n">
        <x:f>IF(K179&lt;='Wyniki'!$B$6,1,0)</x:f>
        <x:v>0</x:v>
      </x:c>
      <x:c r="M179" s="17" t="n">
        <x:v>0.2473758023565608</x:v>
      </x:c>
      <x:c r="N179" s="18" t="n">
        <x:v>40</x:v>
      </x:c>
      <x:c r="O179" s="17" t="n">
        <x:v>0.26075830311212583</x:v>
      </x:c>
      <x:c r="P179" s="11" t="n">
        <x:f>1/O179</x:f>
        <x:v>3.834968965762908</x:v>
      </x:c>
      <x:c r="Q179" s="17" t="n">
        <x:v>3.762440582944026</x:v>
      </x:c>
      <x:c r="R179" s="11" t="n">
        <x:f>Q179/P179</x:f>
        <x:v>0.9810876219686817</x:v>
      </x:c>
      <x:c r="S179" s="16" t="n">
        <x:f>COUNTIFS($R$8:$R$437,"&gt;"&amp;R179)+COUNTIFS($R$8:R179,R179)</x:f>
        <x:v>384</x:v>
      </x:c>
      <x:c r="T179" s="16" t="n">
        <x:f>IF(S179&lt;='Wyniki'!$B$6,1,0)</x:f>
        <x:v>0</x:v>
      </x:c>
    </x:row>
    <x:row r="180" ht="22" customHeight="1">
      <x:c r="A180" s="18" t="n">
        <x:v>173</x:v>
      </x:c>
      <x:c r="B180" s="17" t="n">
        <x:v>0.888915324908164</x:v>
      </x:c>
      <x:c r="C180" s="17" t="n">
        <x:v>-1.1347810522426087</x:v>
      </x:c>
      <x:c r="D180" s="18" t="n">
        <x:v>0</x:v>
      </x:c>
      <x:c r="E180" s="17" t="n">
        <x:v>0.5801150461775268</x:v>
      </x:c>
      <x:c r="F180" s="18" t="n">
        <x:v>10</x:v>
      </x:c>
      <x:c r="G180" s="17" t="n">
        <x:v>0.5489819197490117</x:v>
      </x:c>
      <x:c r="H180" s="11" t="n">
        <x:f>1/G180</x:f>
        <x:v>1.8215536141102584</x:v>
      </x:c>
      <x:c r="I180" s="17" t="n">
        <x:v>2.460467055660499</x:v>
      </x:c>
      <x:c r="J180" s="11" t="n">
        <x:f>I180/H180</x:f>
        <x:v>1.350751927695699</x:v>
      </x:c>
      <x:c r="K180" s="16" t="n">
        <x:f>COUNTIFS($J$8:$J$437,"&gt;"&amp;J180)+COUNTIFS($J$8:J180,J180)</x:f>
        <x:v>34</x:v>
      </x:c>
      <x:c r="L180" s="16" t="n">
        <x:f>IF(K180&lt;='Wyniki'!$B$6,1,0)</x:f>
        <x:v>0</x:v>
      </x:c>
      <x:c r="M180" s="17" t="n">
        <x:v>0.9559797946477995</x:v>
      </x:c>
      <x:c r="N180" s="18" t="n">
        <x:v>40</x:v>
      </x:c>
      <x:c r="O180" s="17" t="n">
        <x:v>0.8057882870308744</x:v>
      </x:c>
      <x:c r="P180" s="11" t="n">
        <x:f>1/O180</x:f>
        <x:v>1.2410207694687976</x:v>
      </x:c>
      <x:c r="Q180" s="17" t="n">
        <x:v>2.1664285907720098</x:v>
      </x:c>
      <x:c r="R180" s="11" t="n">
        <x:f>Q180/P180</x:f>
        <x:v>1.7456827831328887</x:v>
      </x:c>
      <x:c r="S180" s="16" t="n">
        <x:f>COUNTIFS($R$8:$R$437,"&gt;"&amp;R180)+COUNTIFS($R$8:R180,R180)</x:f>
        <x:v>37</x:v>
      </x:c>
      <x:c r="T180" s="16" t="n">
        <x:f>IF(S180&lt;='Wyniki'!$B$6,1,0)</x:f>
        <x:v>0</x:v>
      </x:c>
    </x:row>
    <x:row r="181" ht="22" customHeight="1">
      <x:c r="A181" s="18" t="n">
        <x:v>174</x:v>
      </x:c>
      <x:c r="B181" s="17" t="n">
        <x:v>-0.3251068838551081</x:v>
      </x:c>
      <x:c r="C181" s="17" t="n">
        <x:v>0.3249984775363451</x:v>
      </x:c>
      <x:c r="D181" s="18" t="n">
        <x:v>0</x:v>
      </x:c>
      <x:c r="E181" s="17" t="n">
        <x:v>0.13248912910127922</x:v>
      </x:c>
      <x:c r="F181" s="18" t="n">
        <x:v>10</x:v>
      </x:c>
      <x:c r="G181" s="17" t="n">
        <x:v>0.14509590264774533</x:v>
      </x:c>
      <x:c r="H181" s="11" t="n">
        <x:f>1/G181</x:f>
        <x:v>6.891993376461752</x:v>
      </x:c>
      <x:c r="I181" s="17" t="n">
        <x:v>6.887018755178969</x:v>
      </x:c>
      <x:c r="J181" s="11" t="n">
        <x:f>I181/H181</x:f>
        <x:v>0.999278202834644</x:v>
      </x:c>
      <x:c r="K181" s="16" t="n">
        <x:f>COUNTIFS($J$8:$J$437,"&gt;"&amp;J181)+COUNTIFS($J$8:J181,J181)</x:f>
        <x:v>313</x:v>
      </x:c>
      <x:c r="L181" s="16" t="n">
        <x:f>IF(K181&lt;='Wyniki'!$B$6,1,0)</x:f>
        <x:v>0</x:v>
      </x:c>
      <x:c r="M181" s="17" t="n">
        <x:v>0.30028310974910155</x:v>
      </x:c>
      <x:c r="N181" s="18" t="n">
        <x:v>40</x:v>
      </x:c>
      <x:c r="O181" s="17" t="n">
        <x:v>0.3122292417628347</x:v>
      </x:c>
      <x:c r="P181" s="11" t="n">
        <x:f>1/O181</x:f>
        <x:v>3.2027749686545604</x:v>
      </x:c>
      <x:c r="Q181" s="17" t="n">
        <x:v>3.262298535799546</x:v>
      </x:c>
      <x:c r="R181" s="11" t="n">
        <x:f>Q181/P181</x:f>
        <x:v>1.0185849982366981</x:v>
      </x:c>
      <x:c r="S181" s="16" t="n">
        <x:f>COUNTIFS($R$8:$R$437,"&gt;"&amp;R181)+COUNTIFS($R$8:R181,R181)</x:f>
        <x:v>244</x:v>
      </x:c>
      <x:c r="T181" s="16" t="n">
        <x:f>IF(S181&lt;='Wyniki'!$B$6,1,0)</x:f>
        <x:v>0</x:v>
      </x:c>
    </x:row>
    <x:row r="182" ht="22" customHeight="1">
      <x:c r="A182" s="18" t="n">
        <x:v>175</x:v>
      </x:c>
      <x:c r="B182" s="17" t="n">
        <x:v>-0.8698769196996683</x:v>
      </x:c>
      <x:c r="C182" s="17" t="n">
        <x:v>0.81177197642943</x:v>
      </x:c>
      <x:c r="D182" s="18" t="n">
        <x:v>0</x:v>
      </x:c>
      <x:c r="E182" s="17" t="n">
        <x:v>0.49869454394444845</x:v>
      </x:c>
      <x:c r="F182" s="18" t="n">
        <x:v>10</x:v>
      </x:c>
      <x:c r="G182" s="17" t="n">
        <x:v>0.470400157284202</x:v>
      </x:c>
      <x:c r="H182" s="11" t="n">
        <x:f>1/G182</x:f>
        <x:v>2.125849629331287</x:v>
      </x:c>
      <x:c r="I182" s="17" t="n">
        <x:v>3.2848821531934265</x:v>
      </x:c>
      <x:c r="J182" s="11" t="n">
        <x:f>I182/H182</x:f>
        <x:v>1.545209081522256</x:v>
      </x:c>
      <x:c r="K182" s="16" t="n">
        <x:f>COUNTIFS($J$8:$J$437,"&gt;"&amp;J182)+COUNTIFS($J$8:J182,J182)</x:f>
        <x:v>18</x:v>
      </x:c>
      <x:c r="L182" s="16" t="n">
        <x:f>IF(K182&lt;='Wyniki'!$B$6,1,0)</x:f>
        <x:v>1</x:v>
      </x:c>
      <x:c r="M182" s="17" t="n">
        <x:v>0.7371289868311244</x:v>
      </x:c>
      <x:c r="N182" s="18" t="n">
        <x:v>40</x:v>
      </x:c>
      <x:c r="O182" s="17" t="n">
        <x:v>0.6415059866185155</x:v>
      </x:c>
      <x:c r="P182" s="11" t="n">
        <x:f>1/O182</x:f>
        <x:v>1.5588319062635188</x:v>
      </x:c>
      <x:c r="Q182" s="17" t="n">
        <x:v>2.456448012094225</x:v>
      </x:c>
      <x:c r="R182" s="11" t="n">
        <x:f>Q182/P182</x:f>
        <x:v>1.575826105575597</x:v>
      </x:c>
      <x:c r="S182" s="16" t="n">
        <x:f>COUNTIFS($R$8:$R$437,"&gt;"&amp;R182)+COUNTIFS($R$8:R182,R182)</x:f>
        <x:v>50</x:v>
      </x:c>
      <x:c r="T182" s="16" t="n">
        <x:f>IF(S182&lt;='Wyniki'!$B$6,1,0)</x:f>
        <x:v>0</x:v>
      </x:c>
    </x:row>
    <x:row r="183" ht="22" customHeight="1">
      <x:c r="A183" s="18" t="n">
        <x:v>176</x:v>
      </x:c>
      <x:c r="B183" s="17" t="n">
        <x:v>0.20259613698536214</x:v>
      </x:c>
      <x:c r="C183" s="17" t="n">
        <x:v>0.4656211922138722</x:v>
      </x:c>
      <x:c r="D183" s="18" t="n">
        <x:v>0</x:v>
      </x:c>
      <x:c r="E183" s="17" t="n">
        <x:v>0.18160006448975197</x:v>
      </x:c>
      <x:c r="F183" s="18" t="n">
        <x:v>10</x:v>
      </x:c>
      <x:c r="G183" s="17" t="n">
        <x:v>0.15675767095870025</x:v>
      </x:c>
      <x:c r="H183" s="11" t="n">
        <x:f>1/G183</x:f>
        <x:v>6.379273141047512</x:v>
      </x:c>
      <x:c r="I183" s="17" t="n">
        <x:v>6.536757509603177</x:v>
      </x:c>
      <x:c r="J183" s="11" t="n">
        <x:f>I183/H183</x:f>
        <x:v>1.0246868828271876</x:v>
      </x:c>
      <x:c r="K183" s="16" t="n">
        <x:f>COUNTIFS($J$8:$J$437,"&gt;"&amp;J183)+COUNTIFS($J$8:J183,J183)</x:f>
        <x:v>231</x:v>
      </x:c>
      <x:c r="L183" s="16" t="n">
        <x:f>IF(K183&lt;='Wyniki'!$B$6,1,0)</x:f>
        <x:v>0</x:v>
      </x:c>
      <x:c r="M183" s="17" t="n">
        <x:v>0.29628227914173205</x:v>
      </x:c>
      <x:c r="N183" s="18" t="n">
        <x:v>40</x:v>
      </x:c>
      <x:c r="O183" s="17" t="n">
        <x:v>0.305892408684775</x:v>
      </x:c>
      <x:c r="P183" s="11" t="n">
        <x:f>1/O183</x:f>
        <x:v>3.2691232982852783</x:v>
      </x:c>
      <x:c r="Q183" s="17" t="n">
        <x:v>3.2946294628617068</x:v>
      </x:c>
      <x:c r="R183" s="11" t="n">
        <x:f>Q183/P183</x:f>
        <x:v>1.007802142118594</x:v>
      </x:c>
      <x:c r="S183" s="16" t="n">
        <x:f>COUNTIFS($R$8:$R$437,"&gt;"&amp;R183)+COUNTIFS($R$8:R183,R183)</x:f>
        <x:v>277</x:v>
      </x:c>
      <x:c r="T183" s="16" t="n">
        <x:f>IF(S183&lt;='Wyniki'!$B$6,1,0)</x:f>
        <x:v>0</x:v>
      </x:c>
    </x:row>
    <x:row r="184" ht="22" customHeight="1">
      <x:c r="A184" s="18" t="n">
        <x:v>177</x:v>
      </x:c>
      <x:c r="B184" s="17" t="n">
        <x:v>-0.31401901383698705</x:v>
      </x:c>
      <x:c r="C184" s="17" t="n">
        <x:v>0.44757002948141583</x:v>
      </x:c>
      <x:c r="D184" s="18" t="n">
        <x:v>0</x:v>
      </x:c>
      <x:c r="E184" s="17" t="n">
        <x:v>0.18023314977117044</x:v>
      </x:c>
      <x:c r="F184" s="18" t="n">
        <x:v>10</x:v>
      </x:c>
      <x:c r="G184" s="17" t="n">
        <x:v>0.16842957531200708</x:v>
      </x:c>
      <x:c r="H184" s="11" t="n">
        <x:f>1/G184</x:f>
        <x:v>5.937199557426608</x:v>
      </x:c>
      <x:c r="I184" s="17" t="n">
        <x:v>6.107234469806646</x:v>
      </x:c>
      <x:c r="J184" s="11" t="n">
        <x:f>I184/H184</x:f>
        <x:v>1.0286389080803842</x:v>
      </x:c>
      <x:c r="K184" s="16" t="n">
        <x:f>COUNTIFS($J$8:$J$437,"&gt;"&amp;J184)+COUNTIFS($J$8:J184,J184)</x:f>
        <x:v>222</x:v>
      </x:c>
      <x:c r="L184" s="16" t="n">
        <x:f>IF(K184&lt;='Wyniki'!$B$6,1,0)</x:f>
        <x:v>0</x:v>
      </x:c>
      <x:c r="M184" s="17" t="n">
        <x:v>0.3520185119545251</x:v>
      </x:c>
      <x:c r="N184" s="18" t="n">
        <x:v>40</x:v>
      </x:c>
      <x:c r="O184" s="17" t="n">
        <x:v>0.33731197436788535</x:v>
      </x:c>
      <x:c r="P184" s="11" t="n">
        <x:f>1/O184</x:f>
        <x:v>2.9646145882427577</x:v>
      </x:c>
      <x:c r="Q184" s="17" t="n">
        <x:v>3.111201794780983</x:v>
      </x:c>
      <x:c r="R184" s="11" t="n">
        <x:f>Q184/P184</x:f>
        <x:v>1.0494456200544817</x:v>
      </x:c>
      <x:c r="S184" s="16" t="n">
        <x:f>COUNTIFS($R$8:$R$437,"&gt;"&amp;R184)+COUNTIFS($R$8:R184,R184)</x:f>
        <x:v>201</x:v>
      </x:c>
      <x:c r="T184" s="16" t="n">
        <x:f>IF(S184&lt;='Wyniki'!$B$6,1,0)</x:f>
        <x:v>0</x:v>
      </x:c>
    </x:row>
    <x:row r="185" ht="22" customHeight="1">
      <x:c r="A185" s="18" t="n">
        <x:v>178</x:v>
      </x:c>
      <x:c r="B185" s="17" t="n">
        <x:v>0.5876593557939711</x:v>
      </x:c>
      <x:c r="C185" s="17" t="n">
        <x:v>0.1280829110754426</x:v>
      </x:c>
      <x:c r="D185" s="18" t="n">
        <x:v>0</x:v>
      </x:c>
      <x:c r="E185" s="17" t="n">
        <x:v>0.14310387593864415</x:v>
      </x:c>
      <x:c r="F185" s="18" t="n">
        <x:v>10</x:v>
      </x:c>
      <x:c r="G185" s="17" t="n">
        <x:v>0.15371519220365892</x:v>
      </x:c>
      <x:c r="H185" s="11" t="n">
        <x:f>1/G185</x:f>
        <x:v>6.505537843488424</x:v>
      </x:c>
      <x:c r="I185" s="17" t="n">
        <x:v>6.8318692419749585</x:v>
      </x:c>
      <x:c r="J185" s="11" t="n">
        <x:f>I185/H185</x:f>
        <x:v>1.0501620936404463</x:v>
      </x:c>
      <x:c r="K185" s="16" t="n">
        <x:f>COUNTIFS($J$8:$J$437,"&gt;"&amp;J185)+COUNTIFS($J$8:J185,J185)</x:f>
        <x:v>176</x:v>
      </x:c>
      <x:c r="L185" s="16" t="n">
        <x:f>IF(K185&lt;='Wyniki'!$B$6,1,0)</x:f>
        <x:v>0</x:v>
      </x:c>
      <x:c r="M185" s="17" t="n">
        <x:v>0.30376925893651513</x:v>
      </x:c>
      <x:c r="N185" s="18" t="n">
        <x:v>40</x:v>
      </x:c>
      <x:c r="O185" s="17" t="n">
        <x:v>0.30909427692021396</x:v>
      </x:c>
      <x:c r="P185" s="11" t="n">
        <x:f>1/O185</x:f>
        <x:v>3.2352588665306428</x:v>
      </x:c>
      <x:c r="Q185" s="17" t="n">
        <x:v>3.2698527786099993</x:v>
      </x:c>
      <x:c r="R185" s="11" t="n">
        <x:f>Q185/P185</x:f>
        <x:v>1.01069278024001</x:v>
      </x:c>
      <x:c r="S185" s="16" t="n">
        <x:f>COUNTIFS($R$8:$R$437,"&gt;"&amp;R185)+COUNTIFS($R$8:R185,R185)</x:f>
        <x:v>265</x:v>
      </x:c>
      <x:c r="T185" s="16" t="n">
        <x:f>IF(S185&lt;='Wyniki'!$B$6,1,0)</x:f>
        <x:v>0</x:v>
      </x:c>
    </x:row>
    <x:row r="186" ht="22" customHeight="1">
      <x:c r="A186" s="18" t="n">
        <x:v>179</x:v>
      </x:c>
      <x:c r="B186" s="17" t="n">
        <x:v>0.12892049098428277</x:v>
      </x:c>
      <x:c r="C186" s="17" t="n">
        <x:v>0.14868878160494925</x:v>
      </x:c>
      <x:c r="D186" s="18" t="n">
        <x:v>0</x:v>
      </x:c>
      <x:c r="E186" s="17" t="n">
        <x:v>0.12780958899080538</x:v>
      </x:c>
      <x:c r="F186" s="18" t="n">
        <x:v>10</x:v>
      </x:c>
      <x:c r="G186" s="17" t="n">
        <x:v>0.1256669551271022</x:v>
      </x:c>
      <x:c r="H186" s="11" t="n">
        <x:f>1/G186</x:f>
        <x:v>7.957541415629742</x:v>
      </x:c>
      <x:c r="I186" s="17" t="n">
        <x:v>8.139337526627108</x:v>
      </x:c>
      <x:c r="J186" s="11" t="n">
        <x:f>I186/H186</x:f>
        <x:v>1.0228457637229875</x:v>
      </x:c>
      <x:c r="K186" s="16" t="n">
        <x:f>COUNTIFS($J$8:$J$437,"&gt;"&amp;J186)+COUNTIFS($J$8:J186,J186)</x:f>
        <x:v>237</x:v>
      </x:c>
      <x:c r="L186" s="16" t="n">
        <x:f>IF(K186&lt;='Wyniki'!$B$6,1,0)</x:f>
        <x:v>0</x:v>
      </x:c>
      <x:c r="M186" s="17" t="n">
        <x:v>0.25485106559683635</x:v>
      </x:c>
      <x:c r="N186" s="18" t="n">
        <x:v>40</x:v>
      </x:c>
      <x:c r="O186" s="17" t="n">
        <x:v>0.25715485176114966</x:v>
      </x:c>
      <x:c r="P186" s="11" t="n">
        <x:f>1/O186</x:f>
        <x:v>3.8887074972585745</x:v>
      </x:c>
      <x:c r="Q186" s="17" t="n">
        <x:v>3.7972540134345634</x:v>
      </x:c>
      <x:c r="R186" s="11" t="n">
        <x:f>Q186/P186</x:f>
        <x:v>0.9764822929241957</x:v>
      </x:c>
      <x:c r="S186" s="16" t="n">
        <x:f>COUNTIFS($R$8:$R$437,"&gt;"&amp;R186)+COUNTIFS($R$8:R186,R186)</x:f>
        <x:v>405</x:v>
      </x:c>
      <x:c r="T186" s="16" t="n">
        <x:f>IF(S186&lt;='Wyniki'!$B$6,1,0)</x:f>
        <x:v>0</x:v>
      </x:c>
    </x:row>
    <x:row r="187" ht="22" customHeight="1">
      <x:c r="A187" s="18" t="n">
        <x:v>180</x:v>
      </x:c>
      <x:c r="B187" s="17" t="n">
        <x:v>-0.47483989560665996</x:v>
      </x:c>
      <x:c r="C187" s="17" t="n">
        <x:v>-0.08114077413219412</x:v>
      </x:c>
      <x:c r="D187" s="18" t="n">
        <x:v>0</x:v>
      </x:c>
      <x:c r="E187" s="17" t="n">
        <x:v>0.1202945141501153</x:v>
      </x:c>
      <x:c r="F187" s="18" t="n">
        <x:v>10</x:v>
      </x:c>
      <x:c r="G187" s="17" t="n">
        <x:v>0.1350221047809395</x:v>
      </x:c>
      <x:c r="H187" s="11" t="n">
        <x:f>1/G187</x:f>
        <x:v>7.406194723615105</x:v>
      </x:c>
      <x:c r="I187" s="17" t="n">
        <x:v>7.3105198425883415</x:v>
      </x:c>
      <x:c r="J187" s="11" t="n">
        <x:f>I187/H187</x:f>
        <x:v>0.9870817761891004</x:v>
      </x:c>
      <x:c r="K187" s="16" t="n">
        <x:f>COUNTIFS($J$8:$J$437,"&gt;"&amp;J187)+COUNTIFS($J$8:J187,J187)</x:f>
        <x:v>357</x:v>
      </x:c>
      <x:c r="L187" s="16" t="n">
        <x:f>IF(K187&lt;='Wyniki'!$B$6,1,0)</x:f>
        <x:v>0</x:v>
      </x:c>
      <x:c r="M187" s="17" t="n">
        <x:v>0.32262631777479533</x:v>
      </x:c>
      <x:c r="N187" s="18" t="n">
        <x:v>40</x:v>
      </x:c>
      <x:c r="O187" s="17" t="n">
        <x:v>0.32043347232100444</x:v>
      </x:c>
      <x:c r="P187" s="11" t="n">
        <x:f>1/O187</x:f>
        <x:v>3.120772598307764</x:v>
      </x:c>
      <x:c r="Q187" s="17" t="n">
        <x:v>3.125914475447589</x:v>
      </x:c>
      <x:c r="R187" s="11" t="n">
        <x:f>Q187/P187</x:f>
        <x:v>1.0016476295461623</x:v>
      </x:c>
      <x:c r="S187" s="16" t="n">
        <x:f>COUNTIFS($R$8:$R$437,"&gt;"&amp;R187)+COUNTIFS($R$8:R187,R187)</x:f>
        <x:v>305</x:v>
      </x:c>
      <x:c r="T187" s="16" t="n">
        <x:f>IF(S187&lt;='Wyniki'!$B$6,1,0)</x:f>
        <x:v>0</x:v>
      </x:c>
    </x:row>
    <x:row r="188" ht="22" customHeight="1">
      <x:c r="A188" s="18" t="n">
        <x:v>181</x:v>
      </x:c>
      <x:c r="B188" s="17" t="n">
        <x:v>-0.08388739284879734</x:v>
      </x:c>
      <x:c r="C188" s="17" t="n">
        <x:v>0.21086662539442233</x:v>
      </x:c>
      <x:c r="D188" s="18" t="n">
        <x:v>0</x:v>
      </x:c>
      <x:c r="E188" s="17" t="n">
        <x:v>0.12086033768087032</x:v>
      </x:c>
      <x:c r="F188" s="18" t="n">
        <x:v>10</x:v>
      </x:c>
      <x:c r="G188" s="17" t="n">
        <x:v>0.10489056005830552</x:v>
      </x:c>
      <x:c r="H188" s="11" t="n">
        <x:f>1/G188</x:f>
        <x:v>9.533746406198327</x:v>
      </x:c>
      <x:c r="I188" s="17" t="n">
        <x:v>9.246160144828565</x:v>
      </x:c>
      <x:c r="J188" s="11" t="n">
        <x:f>I188/H188</x:f>
        <x:v>0.9698349159798514</x:v>
      </x:c>
      <x:c r="K188" s="16" t="n">
        <x:f>COUNTIFS($J$8:$J$437,"&gt;"&amp;J188)+COUNTIFS($J$8:J188,J188)</x:f>
        <x:v>403</x:v>
      </x:c>
      <x:c r="L188" s="16" t="n">
        <x:f>IF(K188&lt;='Wyniki'!$B$6,1,0)</x:f>
        <x:v>0</x:v>
      </x:c>
      <x:c r="M188" s="17" t="n">
        <x:v>0.26731479799475844</x:v>
      </x:c>
      <x:c r="N188" s="18" t="n">
        <x:v>40</x:v>
      </x:c>
      <x:c r="O188" s="17" t="n">
        <x:v>0.264652683505417</x:v>
      </x:c>
      <x:c r="P188" s="11" t="n">
        <x:f>1/O188</x:f>
        <x:v>3.778537163329129</x:v>
      </x:c>
      <x:c r="Q188" s="17" t="n">
        <x:v>3.7036917932526414</x:v>
      </x:c>
      <x:c r="R188" s="11" t="n">
        <x:f>Q188/P188</x:f>
        <x:v>0.9801919719613016</x:v>
      </x:c>
      <x:c r="S188" s="16" t="n">
        <x:f>COUNTIFS($R$8:$R$437,"&gt;"&amp;R188)+COUNTIFS($R$8:R188,R188)</x:f>
        <x:v>386</x:v>
      </x:c>
      <x:c r="T188" s="16" t="n">
        <x:f>IF(S188&lt;='Wyniki'!$B$6,1,0)</x:f>
        <x:v>0</x:v>
      </x:c>
    </x:row>
    <x:row r="189" ht="22" customHeight="1">
      <x:c r="A189" s="18" t="n">
        <x:v>182</x:v>
      </x:c>
      <x:c r="B189" s="17" t="n">
        <x:v>0.5499033358006621</x:v>
      </x:c>
      <x:c r="C189" s="17" t="n">
        <x:v>-0.5821948450881251</x:v>
      </x:c>
      <x:c r="D189" s="18" t="n">
        <x:v>0</x:v>
      </x:c>
      <x:c r="E189" s="17" t="n">
        <x:v>0.2732964966637156</x:v>
      </x:c>
      <x:c r="F189" s="18" t="n">
        <x:v>10</x:v>
      </x:c>
      <x:c r="G189" s="17" t="n">
        <x:v>0.27042157482504053</x:v>
      </x:c>
      <x:c r="H189" s="11" t="n">
        <x:f>1/G189</x:f>
        <x:v>3.69792979959897</x:v>
      </x:c>
      <x:c r="I189" s="17" t="n">
        <x:v>4.056722925734796</x:v>
      </x:c>
      <x:c r="J189" s="11" t="n">
        <x:f>I189/H189</x:f>
        <x:v>1.0970254022060495</x:v>
      </x:c>
      <x:c r="K189" s="16" t="n">
        <x:f>COUNTIFS($J$8:$J$437,"&gt;"&amp;J189)+COUNTIFS($J$8:J189,J189)</x:f>
        <x:v>120</x:v>
      </x:c>
      <x:c r="L189" s="16" t="n">
        <x:f>IF(K189&lt;='Wyniki'!$B$6,1,0)</x:f>
        <x:v>0</x:v>
      </x:c>
      <x:c r="M189" s="17" t="n">
        <x:v>0.4583030438278275</x:v>
      </x:c>
      <x:c r="N189" s="18" t="n">
        <x:v>40</x:v>
      </x:c>
      <x:c r="O189" s="17" t="n">
        <x:v>0.43938953583268275</x:v>
      </x:c>
      <x:c r="P189" s="11" t="n">
        <x:f>1/O189</x:f>
        <x:v>2.2758848776516944</x:v>
      </x:c>
      <x:c r="Q189" s="17" t="n">
        <x:v>2.7130044591884763</x:v>
      </x:c>
      <x:c r="R189" s="11" t="n">
        <x:f>Q189/P189</x:f>
        <x:v>1.1920657700348232</x:v>
      </x:c>
      <x:c r="S189" s="16" t="n">
        <x:f>COUNTIFS($R$8:$R$437,"&gt;"&amp;R189)+COUNTIFS($R$8:R189,R189)</x:f>
        <x:v>118</x:v>
      </x:c>
      <x:c r="T189" s="16" t="n">
        <x:f>IF(S189&lt;='Wyniki'!$B$6,1,0)</x:f>
        <x:v>0</x:v>
      </x:c>
    </x:row>
    <x:row r="190" ht="22" customHeight="1">
      <x:c r="A190" s="18" t="n">
        <x:v>183</x:v>
      </x:c>
      <x:c r="B190" s="17" t="n">
        <x:v>-0.0687549666757677</x:v>
      </x:c>
      <x:c r="C190" s="17" t="n">
        <x:v>0.8148005512124353</x:v>
      </x:c>
      <x:c r="D190" s="18" t="n">
        <x:v>0</x:v>
      </x:c>
      <x:c r="E190" s="17" t="n">
        <x:v>0.19327863318888525</x:v>
      </x:c>
      <x:c r="F190" s="18" t="n">
        <x:v>10</x:v>
      </x:c>
      <x:c r="G190" s="17" t="n">
        <x:v>0.19441302584564898</x:v>
      </x:c>
      <x:c r="H190" s="11" t="n">
        <x:f>1/G190</x:f>
        <x:v>5.143688267029667</x:v>
      </x:c>
      <x:c r="I190" s="17" t="n">
        <x:v>5.242483540828681</x:v>
      </x:c>
      <x:c r="J190" s="11" t="n">
        <x:f>I190/H190</x:f>
        <x:v>1.0192070881185158</x:v>
      </x:c>
      <x:c r="K190" s="16" t="n">
        <x:f>COUNTIFS($J$8:$J$437,"&gt;"&amp;J190)+COUNTIFS($J$8:J190,J190)</x:f>
        <x:v>244</x:v>
      </x:c>
      <x:c r="L190" s="16" t="n">
        <x:f>IF(K190&lt;='Wyniki'!$B$6,1,0)</x:f>
        <x:v>0</x:v>
      </x:c>
      <x:c r="M190" s="17" t="n">
        <x:v>0.43323697767846236</x:v>
      </x:c>
      <x:c r="N190" s="18" t="n">
        <x:v>40</x:v>
      </x:c>
      <x:c r="O190" s="17" t="n">
        <x:v>0.4229369538072814</x:v>
      </x:c>
      <x:c r="P190" s="11" t="n">
        <x:f>1/O190</x:f>
        <x:v>2.3644185995051816</x:v>
      </x:c>
      <x:c r="Q190" s="17" t="n">
        <x:v>2.607069098605392</x:v>
      </x:c>
      <x:c r="R190" s="11" t="n">
        <x:f>Q190/P190</x:f>
        <x:v>1.1026258629292593</x:v>
      </x:c>
      <x:c r="S190" s="16" t="n">
        <x:f>COUNTIFS($R$8:$R$437,"&gt;"&amp;R190)+COUNTIFS($R$8:R190,R190)</x:f>
        <x:v>154</x:v>
      </x:c>
      <x:c r="T190" s="16" t="n">
        <x:f>IF(S190&lt;='Wyniki'!$B$6,1,0)</x:f>
        <x:v>0</x:v>
      </x:c>
    </x:row>
    <x:row r="191" ht="22" customHeight="1">
      <x:c r="A191" s="18" t="n">
        <x:v>184</x:v>
      </x:c>
      <x:c r="B191" s="17" t="n">
        <x:v>-0.4089735258469103</x:v>
      </x:c>
      <x:c r="C191" s="17" t="n">
        <x:v>-0.4522375095096762</x:v>
      </x:c>
      <x:c r="D191" s="18" t="n">
        <x:v>0</x:v>
      </x:c>
      <x:c r="E191" s="17" t="n">
        <x:v>0.17841247919317535</x:v>
      </x:c>
      <x:c r="F191" s="18" t="n">
        <x:v>10</x:v>
      </x:c>
      <x:c r="G191" s="17" t="n">
        <x:v>0.1673339329946843</x:v>
      </x:c>
      <x:c r="H191" s="11" t="n">
        <x:f>1/G191</x:f>
        <x:v>5.976074201469746</x:v>
      </x:c>
      <x:c r="I191" s="17" t="n">
        <x:v>6.0162190031317255</x:v>
      </x:c>
      <x:c r="J191" s="11" t="n">
        <x:f>I191/H191</x:f>
        <x:v>1.0067175875513905</x:v>
      </x:c>
      <x:c r="K191" s="16" t="n">
        <x:f>COUNTIFS($J$8:$J$437,"&gt;"&amp;J191)+COUNTIFS($J$8:J191,J191)</x:f>
        <x:v>280</x:v>
      </x:c>
      <x:c r="L191" s="16" t="n">
        <x:f>IF(K191&lt;='Wyniki'!$B$6,1,0)</x:f>
        <x:v>0</x:v>
      </x:c>
      <x:c r="M191" s="17" t="n">
        <x:v>0.31697663280452854</x:v>
      </x:c>
      <x:c r="N191" s="18" t="n">
        <x:v>40</x:v>
      </x:c>
      <x:c r="O191" s="17" t="n">
        <x:v>0.3470381849850554</x:v>
      </x:c>
      <x:c r="P191" s="11" t="n">
        <x:f>1/O191</x:f>
        <x:v>2.8815272879641856</x:v>
      </x:c>
      <x:c r="Q191" s="17" t="n">
        <x:v>2.8897684023756818</x:v>
      </x:c>
      <x:c r="R191" s="11" t="n">
        <x:f>Q191/P191</x:f>
        <x:v>1.0028599813876198</x:v>
      </x:c>
      <x:c r="S191" s="16" t="n">
        <x:f>COUNTIFS($R$8:$R$437,"&gt;"&amp;R191)+COUNTIFS($R$8:R191,R191)</x:f>
        <x:v>301</x:v>
      </x:c>
      <x:c r="T191" s="16" t="n">
        <x:f>IF(S191&lt;='Wyniki'!$B$6,1,0)</x:f>
        <x:v>0</x:v>
      </x:c>
    </x:row>
    <x:row r="192" ht="22" customHeight="1">
      <x:c r="A192" s="18" t="n">
        <x:v>185</x:v>
      </x:c>
      <x:c r="B192" s="17" t="n">
        <x:v>0.11126840550715648</x:v>
      </x:c>
      <x:c r="C192" s="17" t="n">
        <x:v>0.4644118547669261</x:v>
      </x:c>
      <x:c r="D192" s="18" t="n">
        <x:v>0</x:v>
      </x:c>
      <x:c r="E192" s="17" t="n">
        <x:v>0.1436463879773871</x:v>
      </x:c>
      <x:c r="F192" s="18" t="n">
        <x:v>10</x:v>
      </x:c>
      <x:c r="G192" s="17" t="n">
        <x:v>0.15484992611053633</x:v>
      </x:c>
      <x:c r="H192" s="11" t="n">
        <x:f>1/G192</x:f>
        <x:v>6.457865529016599</x:v>
      </x:c>
      <x:c r="I192" s="17" t="n">
        <x:v>6.445823080666727</x:v>
      </x:c>
      <x:c r="J192" s="11" t="n">
        <x:f>I192/H192</x:f>
        <x:v>0.9981352277628324</x:v>
      </x:c>
      <x:c r="K192" s="16" t="n">
        <x:f>COUNTIFS($J$8:$J$437,"&gt;"&amp;J192)+COUNTIFS($J$8:J192,J192)</x:f>
        <x:v>318</x:v>
      </x:c>
      <x:c r="L192" s="16" t="n">
        <x:f>IF(K192&lt;='Wyniki'!$B$6,1,0)</x:f>
        <x:v>0</x:v>
      </x:c>
      <x:c r="M192" s="17" t="n">
        <x:v>0.31699160082147954</x:v>
      </x:c>
      <x:c r="N192" s="18" t="n">
        <x:v>40</x:v>
      </x:c>
      <x:c r="O192" s="17" t="n">
        <x:v>0.31096849725840153</x:v>
      </x:c>
      <x:c r="P192" s="11" t="n">
        <x:f>1/O192</x:f>
        <x:v>3.215759823957482</x:v>
      </x:c>
      <x:c r="Q192" s="17" t="n">
        <x:v>3.2572098831734637</x:v>
      </x:c>
      <x:c r="R192" s="11" t="n">
        <x:f>Q192/P192</x:f>
        <x:v>1.0128896626256656</x:v>
      </x:c>
      <x:c r="S192" s="16" t="n">
        <x:f>COUNTIFS($R$8:$R$437,"&gt;"&amp;R192)+COUNTIFS($R$8:R192,R192)</x:f>
        <x:v>256</x:v>
      </x:c>
      <x:c r="T192" s="16" t="n">
        <x:f>IF(S192&lt;='Wyniki'!$B$6,1,0)</x:f>
        <x:v>0</x:v>
      </x:c>
    </x:row>
    <x:row r="193" ht="22" customHeight="1">
      <x:c r="A193" s="18" t="n">
        <x:v>186</x:v>
      </x:c>
      <x:c r="B193" s="17" t="n">
        <x:v>0.0062843305583626325</x:v>
      </x:c>
      <x:c r="C193" s="17" t="n">
        <x:v>0.7309283247403441</x:v>
      </x:c>
      <x:c r="D193" s="18" t="n">
        <x:v>0</x:v>
      </x:c>
      <x:c r="E193" s="17" t="n">
        <x:v>0.18214136192733907</x:v>
      </x:c>
      <x:c r="F193" s="18" t="n">
        <x:v>10</x:v>
      </x:c>
      <x:c r="G193" s="17" t="n">
        <x:v>0.16874273320794178</x:v>
      </x:c>
      <x:c r="H193" s="11" t="n">
        <x:f>1/G193</x:f>
        <x:v>5.926181121931333</x:v>
      </x:c>
      <x:c r="I193" s="17" t="n">
        <x:v>5.828278815749845</x:v>
      </x:c>
      <x:c r="J193" s="11" t="n">
        <x:f>I193/H193</x:f>
        <x:v>0.9834796972675749</x:v>
      </x:c>
      <x:c r="K193" s="16" t="n">
        <x:f>COUNTIFS($J$8:$J$437,"&gt;"&amp;J193)+COUNTIFS($J$8:J193,J193)</x:f>
        <x:v>369</x:v>
      </x:c>
      <x:c r="L193" s="16" t="n">
        <x:f>IF(K193&lt;='Wyniki'!$B$6,1,0)</x:f>
        <x:v>0</x:v>
      </x:c>
      <x:c r="M193" s="17" t="n">
        <x:v>0.3792691634774257</x:v>
      </x:c>
      <x:c r="N193" s="18" t="n">
        <x:v>40</x:v>
      </x:c>
      <x:c r="O193" s="17" t="n">
        <x:v>0.3891230519836065</x:v>
      </x:c>
      <x:c r="P193" s="11" t="n">
        <x:f>1/O193</x:f>
        <x:v>2.569881159449092</x:v>
      </x:c>
      <x:c r="Q193" s="17" t="n">
        <x:v>2.713159771504975</x:v>
      </x:c>
      <x:c r="R193" s="11" t="n">
        <x:f>Q193/P193</x:f>
        <x:v>1.0557530108071604</x:v>
      </x:c>
      <x:c r="S193" s="16" t="n">
        <x:f>COUNTIFS($R$8:$R$437,"&gt;"&amp;R193)+COUNTIFS($R$8:R193,R193)</x:f>
        <x:v>191</x:v>
      </x:c>
      <x:c r="T193" s="16" t="n">
        <x:f>IF(S193&lt;='Wyniki'!$B$6,1,0)</x:f>
        <x:v>0</x:v>
      </x:c>
    </x:row>
    <x:row r="194" ht="22" customHeight="1">
      <x:c r="A194" s="18" t="n">
        <x:v>187</x:v>
      </x:c>
      <x:c r="B194" s="17" t="n">
        <x:v>0.4712366904115898</x:v>
      </x:c>
      <x:c r="C194" s="17" t="n">
        <x:v>0.463001036789534</x:v>
      </x:c>
      <x:c r="D194" s="18" t="n">
        <x:v>0</x:v>
      </x:c>
      <x:c r="E194" s="17" t="n">
        <x:v>0.17573558482172036</x:v>
      </x:c>
      <x:c r="F194" s="18" t="n">
        <x:v>10</x:v>
      </x:c>
      <x:c r="G194" s="17" t="n">
        <x:v>0.15947770697399427</x:v>
      </x:c>
      <x:c r="H194" s="11" t="n">
        <x:f>1/G194</x:f>
        <x:v>6.2704688885642685</x:v>
      </x:c>
      <x:c r="I194" s="17" t="n">
        <x:v>6.634197576618318</x:v>
      </x:c>
      <x:c r="J194" s="11" t="n">
        <x:f>I194/H194</x:f>
        <x:v>1.058006617131519</x:v>
      </x:c>
      <x:c r="K194" s="16" t="n">
        <x:f>COUNTIFS($J$8:$J$437,"&gt;"&amp;J194)+COUNTIFS($J$8:J194,J194)</x:f>
        <x:v>162</x:v>
      </x:c>
      <x:c r="L194" s="16" t="n">
        <x:f>IF(K194&lt;='Wyniki'!$B$6,1,0)</x:f>
        <x:v>0</x:v>
      </x:c>
      <x:c r="M194" s="17" t="n">
        <x:v>0.32405858564182327</x:v>
      </x:c>
      <x:c r="N194" s="18" t="n">
        <x:v>40</x:v>
      </x:c>
      <x:c r="O194" s="17" t="n">
        <x:v>0.31924110882490286</x:v>
      </x:c>
      <x:c r="P194" s="11" t="n">
        <x:f>1/O194</x:f>
        <x:v>3.1324286639678327</x:v>
      </x:c>
      <x:c r="Q194" s="17" t="n">
        <x:v>3.2575819320836827</x:v>
      </x:c>
      <x:c r="R194" s="11" t="n">
        <x:f>Q194/P194</x:f>
        <x:v>1.0399540680863644</x:v>
      </x:c>
      <x:c r="S194" s="16" t="n">
        <x:f>COUNTIFS($R$8:$R$437,"&gt;"&amp;R194)+COUNTIFS($R$8:R194,R194)</x:f>
        <x:v>209</x:v>
      </x:c>
      <x:c r="T194" s="16" t="n">
        <x:f>IF(S194&lt;='Wyniki'!$B$6,1,0)</x:f>
        <x:v>0</x:v>
      </x:c>
    </x:row>
    <x:row r="195" ht="22" customHeight="1">
      <x:c r="A195" s="18" t="n">
        <x:v>188</x:v>
      </x:c>
      <x:c r="B195" s="17" t="n">
        <x:v>0.3047640757282513</x:v>
      </x:c>
      <x:c r="C195" s="17" t="n">
        <x:v>1.2802092051903469</x:v>
      </x:c>
      <x:c r="D195" s="18" t="n">
        <x:v>0</x:v>
      </x:c>
      <x:c r="E195" s="17" t="n">
        <x:v>0.45006653320478734</x:v>
      </x:c>
      <x:c r="F195" s="18" t="n">
        <x:v>10</x:v>
      </x:c>
      <x:c r="G195" s="17" t="n">
        <x:v>0.4143237034564783</x:v>
      </x:c>
      <x:c r="H195" s="11" t="n">
        <x:f>1/G195</x:f>
        <x:v>2.4135717837467214</x:v>
      </x:c>
      <x:c r="I195" s="17" t="n">
        <x:v>3.9135330690819288</x:v>
      </x:c>
      <x:c r="J195" s="11" t="n">
        <x:f>I195/H195</x:f>
        <x:v>1.6214695147814224</x:v>
      </x:c>
      <x:c r="K195" s="16" t="n">
        <x:f>COUNTIFS($J$8:$J$437,"&gt;"&amp;J195)+COUNTIFS($J$8:J195,J195)</x:f>
        <x:v>15</x:v>
      </x:c>
      <x:c r="L195" s="16" t="n">
        <x:f>IF(K195&lt;='Wyniki'!$B$6,1,0)</x:f>
        <x:v>1</x:v>
      </x:c>
      <x:c r="M195" s="17" t="n">
        <x:v>0.7755652535122736</x:v>
      </x:c>
      <x:c r="N195" s="18" t="n">
        <x:v>40</x:v>
      </x:c>
      <x:c r="O195" s="17" t="n">
        <x:v>0.6411609488861375</x:v>
      </x:c>
      <x:c r="P195" s="11" t="n">
        <x:f>1/O195</x:f>
        <x:v>1.559670784281636</x:v>
      </x:c>
      <x:c r="Q195" s="17" t="n">
        <x:v>2.3327508811781525</x:v>
      </x:c>
      <x:c r="R195" s="11" t="n">
        <x:f>Q195/P195</x:f>
        <x:v>1.4956687684911576</x:v>
      </x:c>
      <x:c r="S195" s="16" t="n">
        <x:f>COUNTIFS($R$8:$R$437,"&gt;"&amp;R195)+COUNTIFS($R$8:R195,R195)</x:f>
        <x:v>57</x:v>
      </x:c>
      <x:c r="T195" s="16" t="n">
        <x:f>IF(S195&lt;='Wyniki'!$B$6,1,0)</x:f>
        <x:v>0</x:v>
      </x:c>
    </x:row>
    <x:row r="196" ht="22" customHeight="1">
      <x:c r="A196" s="18" t="n">
        <x:v>189</x:v>
      </x:c>
      <x:c r="B196" s="17" t="n">
        <x:v>-0.11283892887632431</x:v>
      </x:c>
      <x:c r="C196" s="17" t="n">
        <x:v>-1.1019372606365827</x:v>
      </x:c>
      <x:c r="D196" s="18" t="n">
        <x:v>0</x:v>
      </x:c>
      <x:c r="E196" s="17" t="n">
        <x:v>0.3594065798618451</x:v>
      </x:c>
      <x:c r="F196" s="18" t="n">
        <x:v>10</x:v>
      </x:c>
      <x:c r="G196" s="17" t="n">
        <x:v>0.34955361437868987</x:v>
      </x:c>
      <x:c r="H196" s="11" t="n">
        <x:f>1/G196</x:f>
        <x:v>2.8607914747997634</x:v>
      </x:c>
      <x:c r="I196" s="17" t="n">
        <x:v>4.052177694132824</x:v>
      </x:c>
      <x:c r="J196" s="11" t="n">
        <x:f>I196/H196</x:f>
        <x:v>1.4164533590888337</x:v>
      </x:c>
      <x:c r="K196" s="16" t="n">
        <x:f>COUNTIFS($J$8:$J$437,"&gt;"&amp;J196)+COUNTIFS($J$8:J196,J196)</x:f>
        <x:v>25</x:v>
      </x:c>
      <x:c r="L196" s="16" t="n">
        <x:f>IF(K196&lt;='Wyniki'!$B$6,1,0)</x:f>
        <x:v>1</x:v>
      </x:c>
      <x:c r="M196" s="17" t="n">
        <x:v>0.5995711915661353</x:v>
      </x:c>
      <x:c r="N196" s="18" t="n">
        <x:v>40</x:v>
      </x:c>
      <x:c r="O196" s="17" t="n">
        <x:v>0.521755500199075</x:v>
      </x:c>
      <x:c r="P196" s="11" t="n">
        <x:f>1/O196</x:f>
        <x:v>1.9166065324054111</x:v>
      </x:c>
      <x:c r="Q196" s="17" t="n">
        <x:v>2.513184187402532</x:v>
      </x:c>
      <x:c r="R196" s="11" t="n">
        <x:f>Q196/P196</x:f>
        <x:v>1.311267672790614</x:v>
      </x:c>
      <x:c r="S196" s="16" t="n">
        <x:f>COUNTIFS($R$8:$R$437,"&gt;"&amp;R196)+COUNTIFS($R$8:R196,R196)</x:f>
        <x:v>81</x:v>
      </x:c>
      <x:c r="T196" s="16" t="n">
        <x:f>IF(S196&lt;='Wyniki'!$B$6,1,0)</x:f>
        <x:v>0</x:v>
      </x:c>
    </x:row>
    <x:row r="197" ht="22" customHeight="1">
      <x:c r="A197" s="18" t="n">
        <x:v>190</x:v>
      </x:c>
      <x:c r="B197" s="17" t="n">
        <x:v>0.8823398988344276</x:v>
      </x:c>
      <x:c r="C197" s="17" t="n">
        <x:v>-0.2517346870262541</x:v>
      </x:c>
      <x:c r="D197" s="18" t="n">
        <x:v>0</x:v>
      </x:c>
      <x:c r="E197" s="17" t="n">
        <x:v>0.2944322204015862</x:v>
      </x:c>
      <x:c r="F197" s="18" t="n">
        <x:v>10</x:v>
      </x:c>
      <x:c r="G197" s="17" t="n">
        <x:v>0.25267680445960905</x:v>
      </x:c>
      <x:c r="H197" s="11" t="n">
        <x:f>1/G197</x:f>
        <x:v>3.9576248486229857</x:v>
      </x:c>
      <x:c r="I197" s="17" t="n">
        <x:v>4.446775969803049</x:v>
      </x:c>
      <x:c r="J197" s="11" t="n">
        <x:f>I197/H197</x:f>
        <x:v>1.1235971421976134</x:v>
      </x:c>
      <x:c r="K197" s="16" t="n">
        <x:f>COUNTIFS($J$8:$J$437,"&gt;"&amp;J197)+COUNTIFS($J$8:J197,J197)</x:f>
        <x:v>99</x:v>
      </x:c>
      <x:c r="L197" s="16" t="n">
        <x:f>IF(K197&lt;='Wyniki'!$B$6,1,0)</x:f>
        <x:v>0</x:v>
      </x:c>
      <x:c r="M197" s="17" t="n">
        <x:v>0.5209316327362855</x:v>
      </x:c>
      <x:c r="N197" s="18" t="n">
        <x:v>40</x:v>
      </x:c>
      <x:c r="O197" s="17" t="n">
        <x:v>0.47905794211050134</x:v>
      </x:c>
      <x:c r="P197" s="11" t="n">
        <x:f>1/O197</x:f>
        <x:v>2.087430166786247</x:v>
      </x:c>
      <x:c r="Q197" s="17" t="n">
        <x:v>2.497925779962904</x:v>
      </x:c>
      <x:c r="R197" s="11" t="n">
        <x:f>Q197/P197</x:f>
        <x:v>1.1966511836937976</x:v>
      </x:c>
      <x:c r="S197" s="16" t="n">
        <x:f>COUNTIFS($R$8:$R$437,"&gt;"&amp;R197)+COUNTIFS($R$8:R197,R197)</x:f>
        <x:v>117</x:v>
      </x:c>
      <x:c r="T197" s="16" t="n">
        <x:f>IF(S197&lt;='Wyniki'!$B$6,1,0)</x:f>
        <x:v>0</x:v>
      </x:c>
    </x:row>
    <x:row r="198" ht="22" customHeight="1">
      <x:c r="A198" s="18" t="n">
        <x:v>191</x:v>
      </x:c>
      <x:c r="B198" s="17" t="n">
        <x:v>0.059334244388668175</x:v>
      </x:c>
      <x:c r="C198" s="17" t="n">
        <x:v>0.7202528766732899</x:v>
      </x:c>
      <x:c r="D198" s="18" t="n">
        <x:v>0</x:v>
      </x:c>
      <x:c r="E198" s="17" t="n">
        <x:v>0.15021549764727657</x:v>
      </x:c>
      <x:c r="F198" s="18" t="n">
        <x:v>10</x:v>
      </x:c>
      <x:c r="G198" s="17" t="n">
        <x:v>0.15921600847536604</x:v>
      </x:c>
      <x:c r="H198" s="11" t="n">
        <x:f>1/G198</x:f>
        <x:v>6.280775467089544</x:v>
      </x:c>
      <x:c r="I198" s="17" t="n">
        <x:v>5.998335705427121</x:v>
      </x:c>
      <x:c r="J198" s="11" t="n">
        <x:f>I198/H198</x:f>
        <x:v>0.9550310685133753</x:v>
      </x:c>
      <x:c r="K198" s="16" t="n">
        <x:f>COUNTIFS($J$8:$J$437,"&gt;"&amp;J198)+COUNTIFS($J$8:J198,J198)</x:f>
        <x:v>417</x:v>
      </x:c>
      <x:c r="L198" s="16" t="n">
        <x:f>IF(K198&lt;='Wyniki'!$B$6,1,0)</x:f>
        <x:v>0</x:v>
      </x:c>
      <x:c r="M198" s="17" t="n">
        <x:v>0.3861327173034251</x:v>
      </x:c>
      <x:c r="N198" s="18" t="n">
        <x:v>40</x:v>
      </x:c>
      <x:c r="O198" s="17" t="n">
        <x:v>0.38171415937408604</x:v>
      </x:c>
      <x:c r="P198" s="11" t="n">
        <x:f>1/O198</x:f>
        <x:v>2.6197613461333087</x:v>
      </x:c>
      <x:c r="Q198" s="17" t="n">
        <x:v>2.7540750991252194</x:v>
      </x:c>
      <x:c r="R198" s="11" t="n">
        <x:f>Q198/P198</x:f>
        <x:v>1.0512694613156859</x:v>
      </x:c>
      <x:c r="S198" s="16" t="n">
        <x:f>COUNTIFS($R$8:$R$437,"&gt;"&amp;R198)+COUNTIFS($R$8:R198,R198)</x:f>
        <x:v>195</x:v>
      </x:c>
      <x:c r="T198" s="16" t="n">
        <x:f>IF(S198&lt;='Wyniki'!$B$6,1,0)</x:f>
        <x:v>0</x:v>
      </x:c>
    </x:row>
    <x:row r="199" ht="22" customHeight="1">
      <x:c r="A199" s="18" t="n">
        <x:v>192</x:v>
      </x:c>
      <x:c r="B199" s="17" t="n">
        <x:v>-0.881242747582409</x:v>
      </x:c>
      <x:c r="C199" s="17" t="n">
        <x:v>-0.6884059677583767</x:v>
      </x:c>
      <x:c r="D199" s="18" t="n">
        <x:v>0</x:v>
      </x:c>
      <x:c r="E199" s="17" t="n">
        <x:v>0.25217556863645607</x:v>
      </x:c>
      <x:c r="F199" s="18" t="n">
        <x:v>10</x:v>
      </x:c>
      <x:c r="G199" s="17" t="n">
        <x:v>0.29697283342658126</x:v>
      </x:c>
      <x:c r="H199" s="11" t="n">
        <x:f>1/G199</x:f>
        <x:v>3.3673113747868246</x:v>
      </x:c>
      <x:c r="I199" s="17" t="n">
        <x:v>3.532886138216802</x:v>
      </x:c>
      <x:c r="J199" s="11" t="n">
        <x:f>I199/H199</x:f>
        <x:v>1.0491712066397363</x:v>
      </x:c>
      <x:c r="K199" s="16" t="n">
        <x:f>COUNTIFS($J$8:$J$437,"&gt;"&amp;J199)+COUNTIFS($J$8:J199,J199)</x:f>
        <x:v>180</x:v>
      </x:c>
      <x:c r="L199" s="16" t="n">
        <x:f>IF(K199&lt;='Wyniki'!$B$6,1,0)</x:f>
        <x:v>0</x:v>
      </x:c>
      <x:c r="M199" s="17" t="n">
        <x:v>0.5187623646351093</x:v>
      </x:c>
      <x:c r="N199" s="18" t="n">
        <x:v>40</x:v>
      </x:c>
      <x:c r="O199" s="17" t="n">
        <x:v>0.530635629144675</x:v>
      </x:c>
      <x:c r="P199" s="11" t="n">
        <x:f>1/O199</x:f>
        <x:v>1.8845323326891705</x:v>
      </x:c>
      <x:c r="Q199" s="17" t="n">
        <x:v>2.273215087984739</x:v>
      </x:c>
      <x:c r="R199" s="11" t="n">
        <x:f>Q199/P199</x:f>
        <x:v>1.2062489183939498</x:v>
      </x:c>
      <x:c r="S199" s="16" t="n">
        <x:f>COUNTIFS($R$8:$R$437,"&gt;"&amp;R199)+COUNTIFS($R$8:R199,R199)</x:f>
        <x:v>111</x:v>
      </x:c>
      <x:c r="T199" s="16" t="n">
        <x:f>IF(S199&lt;='Wyniki'!$B$6,1,0)</x:f>
        <x:v>0</x:v>
      </x:c>
    </x:row>
    <x:row r="200" ht="22" customHeight="1">
      <x:c r="A200" s="18" t="n">
        <x:v>193</x:v>
      </x:c>
      <x:c r="B200" s="17" t="n">
        <x:v>-0.8807028654153696</x:v>
      </x:c>
      <x:c r="C200" s="17" t="n">
        <x:v>-0.43677495951398315</x:v>
      </x:c>
      <x:c r="D200" s="18" t="n">
        <x:v>0</x:v>
      </x:c>
      <x:c r="E200" s="17" t="n">
        <x:v>0.25857795261853134</x:v>
      </x:c>
      <x:c r="F200" s="18" t="n">
        <x:v>10</x:v>
      </x:c>
      <x:c r="G200" s="17" t="n">
        <x:v>0.23828372191411135</x:v>
      </x:c>
      <x:c r="H200" s="11" t="n">
        <x:f>1/G200</x:f>
        <x:v>4.196677775414499</x:v>
      </x:c>
      <x:c r="I200" s="17" t="n">
        <x:v>4.375260188943941</x:v>
      </x:c>
      <x:c r="J200" s="11" t="n">
        <x:f>I200/H200</x:f>
        <x:v>1.0425532821642005</x:v>
      </x:c>
      <x:c r="K200" s="16" t="n">
        <x:f>COUNTIFS($J$8:$J$437,"&gt;"&amp;J200)+COUNTIFS($J$8:J200,J200)</x:f>
        <x:v>189</x:v>
      </x:c>
      <x:c r="L200" s="16" t="n">
        <x:f>IF(K200&lt;='Wyniki'!$B$6,1,0)</x:f>
        <x:v>0</x:v>
      </x:c>
      <x:c r="M200" s="17" t="n">
        <x:v>0.471373556292108</x:v>
      </x:c>
      <x:c r="N200" s="18" t="n">
        <x:v>40</x:v>
      </x:c>
      <x:c r="O200" s="17" t="n">
        <x:v>0.47321479086810037</x:v>
      </x:c>
      <x:c r="P200" s="11" t="n">
        <x:f>1/O200</x:f>
        <x:v>2.113205291334038</x:v>
      </x:c>
      <x:c r="Q200" s="17" t="n">
        <x:v>2.34620005187931</x:v>
      </x:c>
      <x:c r="R200" s="11" t="n">
        <x:f>Q200/P200</x:f>
        <x:v>1.110256566884794</x:v>
      </x:c>
      <x:c r="S200" s="16" t="n">
        <x:f>COUNTIFS($R$8:$R$437,"&gt;"&amp;R200)+COUNTIFS($R$8:R200,R200)</x:f>
        <x:v>146</x:v>
      </x:c>
      <x:c r="T200" s="16" t="n">
        <x:f>IF(S200&lt;='Wyniki'!$B$6,1,0)</x:f>
        <x:v>0</x:v>
      </x:c>
    </x:row>
    <x:row r="201" ht="22" customHeight="1">
      <x:c r="A201" s="18" t="n">
        <x:v>194</x:v>
      </x:c>
      <x:c r="B201" s="17" t="n">
        <x:v>0.24180013330934647</x:v>
      </x:c>
      <x:c r="C201" s="17" t="n">
        <x:v>0.28830331354702404</x:v>
      </x:c>
      <x:c r="D201" s="18" t="n">
        <x:v>0</x:v>
      </x:c>
      <x:c r="E201" s="17" t="n">
        <x:v>0.1560612502565872</x:v>
      </x:c>
      <x:c r="F201" s="18" t="n">
        <x:v>10</x:v>
      </x:c>
      <x:c r="G201" s="17" t="n">
        <x:v>0.1312263760104573</x:v>
      </x:c>
      <x:c r="H201" s="11" t="n">
        <x:f>1/G201</x:f>
        <x:v>7.620419235842579</x:v>
      </x:c>
      <x:c r="I201" s="17" t="n">
        <x:v>7.594344314669192</x:v>
      </x:c>
      <x:c r="J201" s="11" t="n">
        <x:f>I201/H201</x:f>
        <x:v>0.996578282589658</x:v>
      </x:c>
      <x:c r="K201" s="16" t="n">
        <x:f>COUNTIFS($J$8:$J$437,"&gt;"&amp;J201)+COUNTIFS($J$8:J201,J201)</x:f>
        <x:v>324</x:v>
      </x:c>
      <x:c r="L201" s="16" t="n">
        <x:f>IF(K201&lt;='Wyniki'!$B$6,1,0)</x:f>
        <x:v>0</x:v>
      </x:c>
      <x:c r="M201" s="17" t="n">
        <x:v>0.25665904902516395</x:v>
      </x:c>
      <x:c r="N201" s="18" t="n">
        <x:v>40</x:v>
      </x:c>
      <x:c r="O201" s="17" t="n">
        <x:v>0.2699484476498009</x:v>
      </x:c>
      <x:c r="P201" s="11" t="n">
        <x:f>1/O201</x:f>
        <x:v>3.704411004049489</x:v>
      </x:c>
      <x:c r="Q201" s="17" t="n">
        <x:v>3.6303484755180477</x:v>
      </x:c>
      <x:c r="R201" s="11" t="n">
        <x:f>Q201/P201</x:f>
        <x:v>0.9800069353939184</x:v>
      </x:c>
      <x:c r="S201" s="16" t="n">
        <x:f>COUNTIFS($R$8:$R$437,"&gt;"&amp;R201)+COUNTIFS($R$8:R201,R201)</x:f>
        <x:v>388</x:v>
      </x:c>
      <x:c r="T201" s="16" t="n">
        <x:f>IF(S201&lt;='Wyniki'!$B$6,1,0)</x:f>
        <x:v>0</x:v>
      </x:c>
    </x:row>
    <x:row r="202" ht="22" customHeight="1">
      <x:c r="A202" s="18" t="n">
        <x:v>195</x:v>
      </x:c>
      <x:c r="B202" s="17" t="n">
        <x:v>0.15195079863070457</x:v>
      </x:c>
      <x:c r="C202" s="17" t="n">
        <x:v>-0.7770212361408017</x:v>
      </x:c>
      <x:c r="D202" s="18" t="n">
        <x:v>0</x:v>
      </x:c>
      <x:c r="E202" s="17" t="n">
        <x:v>0.22591153770466618</x:v>
      </x:c>
      <x:c r="F202" s="18" t="n">
        <x:v>10</x:v>
      </x:c>
      <x:c r="G202" s="17" t="n">
        <x:v>0.23355195463623596</x:v>
      </x:c>
      <x:c r="H202" s="11" t="n">
        <x:f>1/G202</x:f>
        <x:v>4.28170255118408</x:v>
      </x:c>
      <x:c r="I202" s="17" t="n">
        <x:v>5.047808959368211</x:v>
      </x:c>
      <x:c r="J202" s="11" t="n">
        <x:f>I202/H202</x:f>
        <x:v>1.17892564909075</x:v>
      </x:c>
      <x:c r="K202" s="16" t="n">
        <x:f>COUNTIFS($J$8:$J$437,"&gt;"&amp;J202)+COUNTIFS($J$8:J202,J202)</x:f>
        <x:v>75</x:v>
      </x:c>
      <x:c r="L202" s="16" t="n">
        <x:f>IF(K202&lt;='Wyniki'!$B$6,1,0)</x:f>
        <x:v>0</x:v>
      </x:c>
      <x:c r="M202" s="17" t="n">
        <x:v>0.4191467795025862</x:v>
      </x:c>
      <x:c r="N202" s="18" t="n">
        <x:v>40</x:v>
      </x:c>
      <x:c r="O202" s="17" t="n">
        <x:v>0.40758043601168625</x:v>
      </x:c>
      <x:c r="P202" s="11" t="n">
        <x:f>1/O202</x:f>
        <x:v>2.4535034355067222</x:v>
      </x:c>
      <x:c r="Q202" s="17" t="n">
        <x:v>2.7332190708362076</x:v>
      </x:c>
      <x:c r="R202" s="11" t="n">
        <x:f>Q202/P202</x:f>
        <x:v>1.1140066206068775</x:v>
      </x:c>
      <x:c r="S202" s="16" t="n">
        <x:f>COUNTIFS($R$8:$R$437,"&gt;"&amp;R202)+COUNTIFS($R$8:R202,R202)</x:f>
        <x:v>143</x:v>
      </x:c>
      <x:c r="T202" s="16" t="n">
        <x:f>IF(S202&lt;='Wyniki'!$B$6,1,0)</x:f>
        <x:v>0</x:v>
      </x:c>
    </x:row>
    <x:row r="203" ht="22" customHeight="1">
      <x:c r="A203" s="18" t="n">
        <x:v>196</x:v>
      </x:c>
      <x:c r="B203" s="17" t="n">
        <x:v>-1.2705568901479543</x:v>
      </x:c>
      <x:c r="C203" s="17" t="n">
        <x:v>0.029894471964710248</x:v>
      </x:c>
      <x:c r="D203" s="18" t="n">
        <x:v>0</x:v>
      </x:c>
      <x:c r="E203" s="17" t="n">
        <x:v>0.41138109836134407</x:v>
      </x:c>
      <x:c r="F203" s="18" t="n">
        <x:v>10</x:v>
      </x:c>
      <x:c r="G203" s="17" t="n">
        <x:v>0.35188250782581276</x:v>
      </x:c>
      <x:c r="H203" s="11" t="n">
        <x:f>1/G203</x:f>
        <x:v>2.8418576591906506</x:v>
      </x:c>
      <x:c r="I203" s="17" t="n">
        <x:v>3.8067221480659144</x:v>
      </x:c>
      <x:c r="J203" s="11" t="n">
        <x:f>I203/H203</x:f>
        <x:v>1.3395189360574988</x:v>
      </x:c>
      <x:c r="K203" s="16" t="n">
        <x:f>COUNTIFS($J$8:$J$437,"&gt;"&amp;J203)+COUNTIFS($J$8:J203,J203)</x:f>
        <x:v>36</x:v>
      </x:c>
      <x:c r="L203" s="16" t="n">
        <x:f>IF(K203&lt;='Wyniki'!$B$6,1,0)</x:f>
        <x:v>0</x:v>
      </x:c>
      <x:c r="M203" s="17" t="n">
        <x:v>0.7141063275534981</x:v>
      </x:c>
      <x:c r="N203" s="18" t="n">
        <x:v>40</x:v>
      </x:c>
      <x:c r="O203" s="17" t="n">
        <x:v>0.6080586017570011</x:v>
      </x:c>
      <x:c r="P203" s="11" t="n">
        <x:f>1/O203</x:f>
        <x:v>1.6445783302965769</x:v>
      </x:c>
      <x:c r="Q203" s="17" t="n">
        <x:v>2.2658367184743695</x:v>
      </x:c>
      <x:c r="R203" s="11" t="n">
        <x:f>Q203/P203</x:f>
        <x:v>1.3777615068451967</x:v>
      </x:c>
      <x:c r="S203" s="16" t="n">
        <x:f>COUNTIFS($R$8:$R$437,"&gt;"&amp;R203)+COUNTIFS($R$8:R203,R203)</x:f>
        <x:v>68</x:v>
      </x:c>
      <x:c r="T203" s="16" t="n">
        <x:f>IF(S203&lt;='Wyniki'!$B$6,1,0)</x:f>
        <x:v>0</x:v>
      </x:c>
    </x:row>
    <x:row r="204" ht="22" customHeight="1">
      <x:c r="A204" s="18" t="n">
        <x:v>197</x:v>
      </x:c>
      <x:c r="B204" s="17" t="n">
        <x:v>-0.25947681850108467</x:v>
      </x:c>
      <x:c r="C204" s="17" t="n">
        <x:v>0.25266217444413647</x:v>
      </x:c>
      <x:c r="D204" s="18" t="n">
        <x:v>0</x:v>
      </x:c>
      <x:c r="E204" s="17" t="n">
        <x:v>0.13635771833955065</x:v>
      </x:c>
      <x:c r="F204" s="18" t="n">
        <x:v>10</x:v>
      </x:c>
      <x:c r="G204" s="17" t="n">
        <x:v>0.12845874704082214</x:v>
      </x:c>
      <x:c r="H204" s="11" t="n">
        <x:f>1/G204</x:f>
        <x:v>7.7846002941490315</x:v>
      </x:c>
      <x:c r="I204" s="17" t="n">
        <x:v>7.754301042078765</x:v>
      </x:c>
      <x:c r="J204" s="11" t="n">
        <x:f>I204/H204</x:f>
        <x:v>0.9961077960427795</x:v>
      </x:c>
      <x:c r="K204" s="16" t="n">
        <x:f>COUNTIFS($J$8:$J$437,"&gt;"&amp;J204)+COUNTIFS($J$8:J204,J204)</x:f>
        <x:v>327</x:v>
      </x:c>
      <x:c r="L204" s="16" t="n">
        <x:f>IF(K204&lt;='Wyniki'!$B$6,1,0)</x:f>
        <x:v>0</x:v>
      </x:c>
      <x:c r="M204" s="17" t="n">
        <x:v>0.28178055579376965</x:v>
      </x:c>
      <x:c r="N204" s="18" t="n">
        <x:v>40</x:v>
      </x:c>
      <x:c r="O204" s="17" t="n">
        <x:v>0.29110546974458684</x:v>
      </x:c>
      <x:c r="P204" s="11" t="n">
        <x:f>1/O204</x:f>
        <x:v>3.435181073297559</x:v>
      </x:c>
      <x:c r="Q204" s="17" t="n">
        <x:v>3.417868329785808</x:v>
      </x:c>
      <x:c r="R204" s="11" t="n">
        <x:f>Q204/P204</x:f>
        <x:v>0.994960165667444</x:v>
      </x:c>
      <x:c r="S204" s="16" t="n">
        <x:f>COUNTIFS($R$8:$R$437,"&gt;"&amp;R204)+COUNTIFS($R$8:R204,R204)</x:f>
        <x:v>329</x:v>
      </x:c>
      <x:c r="T204" s="16" t="n">
        <x:f>IF(S204&lt;='Wyniki'!$B$6,1,0)</x:f>
        <x:v>0</x:v>
      </x:c>
    </x:row>
    <x:row r="205" ht="22" customHeight="1">
      <x:c r="A205" s="18" t="n">
        <x:v>198</x:v>
      </x:c>
      <x:c r="B205" s="17" t="n">
        <x:v>0.3860744944216986</x:v>
      </x:c>
      <x:c r="C205" s="17" t="n">
        <x:v>0.07603278763227506</x:v>
      </x:c>
      <x:c r="D205" s="18" t="n">
        <x:v>0</x:v>
      </x:c>
      <x:c r="E205" s="17" t="n">
        <x:v>0.1374824604114154</x:v>
      </x:c>
      <x:c r="F205" s="18" t="n">
        <x:v>10</x:v>
      </x:c>
      <x:c r="G205" s="17" t="n">
        <x:v>0.1240368189812235</x:v>
      </x:c>
      <x:c r="H205" s="11" t="n">
        <x:f>1/G205</x:f>
        <x:v>8.062122265094354</x:v>
      </x:c>
      <x:c r="I205" s="17" t="n">
        <x:v>8.242434961550282</x:v>
      </x:c>
      <x:c r="J205" s="11" t="n">
        <x:f>I205/H205</x:f>
        <x:v>1.0223654132903204</x:v>
      </x:c>
      <x:c r="K205" s="16" t="n">
        <x:f>COUNTIFS($J$8:$J$437,"&gt;"&amp;J205)+COUNTIFS($J$8:J205,J205)</x:f>
        <x:v>238</x:v>
      </x:c>
      <x:c r="L205" s="16" t="n">
        <x:f>IF(K205&lt;='Wyniki'!$B$6,1,0)</x:f>
        <x:v>0</x:v>
      </x:c>
      <x:c r="M205" s="17" t="n">
        <x:v>0.25665904902516395</x:v>
      </x:c>
      <x:c r="N205" s="18" t="n">
        <x:v>40</x:v>
      </x:c>
      <x:c r="O205" s="17" t="n">
        <x:v>0.2727106228388534</x:v>
      </x:c>
      <x:c r="P205" s="11" t="n">
        <x:f>1/O205</x:f>
        <x:v>3.6668905288332203</x:v>
      </x:c>
      <x:c r="Q205" s="17" t="n">
        <x:v>3.5778660113133425</x:v>
      </x:c>
      <x:c r="R205" s="11" t="n">
        <x:f>Q205/P205</x:f>
        <x:v>0.9757220683792257</x:v>
      </x:c>
      <x:c r="S205" s="16" t="n">
        <x:f>COUNTIFS($R$8:$R$437,"&gt;"&amp;R205)+COUNTIFS($R$8:R205,R205)</x:f>
        <x:v>406</x:v>
      </x:c>
      <x:c r="T205" s="16" t="n">
        <x:f>IF(S205&lt;='Wyniki'!$B$6,1,0)</x:f>
        <x:v>0</x:v>
      </x:c>
    </x:row>
    <x:row r="206" ht="22" customHeight="1">
      <x:c r="A206" s="18" t="n">
        <x:v>199</x:v>
      </x:c>
      <x:c r="B206" s="17" t="n">
        <x:v>0.41807319695671963</x:v>
      </x:c>
      <x:c r="C206" s="17" t="n">
        <x:v>0.12606625576328764</x:v>
      </x:c>
      <x:c r="D206" s="18" t="n">
        <x:v>0</x:v>
      </x:c>
      <x:c r="E206" s="17" t="n">
        <x:v>0.1186262559546249</x:v>
      </x:c>
      <x:c r="F206" s="18" t="n">
        <x:v>10</x:v>
      </x:c>
      <x:c r="G206" s="17" t="n">
        <x:v>0.1189605552586617</x:v>
      </x:c>
      <x:c r="H206" s="11" t="n">
        <x:f>1/G206</x:f>
        <x:v>8.406147716994525</x:v>
      </x:c>
      <x:c r="I206" s="17" t="n">
        <x:v>8.363890531898457</x:v>
      </x:c>
      <x:c r="J206" s="11" t="n">
        <x:f>I206/H206</x:f>
        <x:v>0.9949730617973037</x:v>
      </x:c>
      <x:c r="K206" s="16" t="n">
        <x:f>COUNTIFS($J$8:$J$437,"&gt;"&amp;J206)+COUNTIFS($J$8:J206,J206)</x:f>
        <x:v>330</x:v>
      </x:c>
      <x:c r="L206" s="16" t="n">
        <x:f>IF(K206&lt;='Wyniki'!$B$6,1,0)</x:f>
        <x:v>0</x:v>
      </x:c>
      <x:c r="M206" s="17" t="n">
        <x:v>0.2679622666510499</x:v>
      </x:c>
      <x:c r="N206" s="18" t="n">
        <x:v>40</x:v>
      </x:c>
      <x:c r="O206" s="17" t="n">
        <x:v>0.27634237646064036</x:v>
      </x:c>
      <x:c r="P206" s="11" t="n">
        <x:f>1/O206</x:f>
        <x:v>3.618699429337906</x:v>
      </x:c>
      <x:c r="Q206" s="17" t="n">
        <x:v>3.5269965952798557</x:v>
      </x:c>
      <x:c r="R206" s="11" t="n">
        <x:f>Q206/P206</x:f>
        <x:v>0.9746586209082226</x:v>
      </x:c>
      <x:c r="S206" s="16" t="n">
        <x:f>COUNTIFS($R$8:$R$437,"&gt;"&amp;R206)+COUNTIFS($R$8:R206,R206)</x:f>
        <x:v>412</x:v>
      </x:c>
      <x:c r="T206" s="16" t="n">
        <x:f>IF(S206&lt;='Wyniki'!$B$6,1,0)</x:f>
        <x:v>0</x:v>
      </x:c>
    </x:row>
    <x:row r="207" ht="22" customHeight="1">
      <x:c r="A207" s="18" t="n">
        <x:v>200</x:v>
      </x:c>
      <x:c r="B207" s="17" t="n">
        <x:v>0.2915355880808067</x:v>
      </x:c>
      <x:c r="C207" s="17" t="n">
        <x:v>-0.38757029457843534</x:v>
      </x:c>
      <x:c r="D207" s="18" t="n">
        <x:v>0</x:v>
      </x:c>
      <x:c r="E207" s="17" t="n">
        <x:v>0.16909627133953894</x:v>
      </x:c>
      <x:c r="F207" s="18" t="n">
        <x:v>10</x:v>
      </x:c>
      <x:c r="G207" s="17" t="n">
        <x:v>0.15843363126902216</x:v>
      </x:c>
      <x:c r="H207" s="11" t="n">
        <x:f>1/G207</x:f>
        <x:v>6.311791202348877</x:v>
      </x:c>
      <x:c r="I207" s="17" t="n">
        <x:v>6.576771552781163</x:v>
      </x:c>
      <x:c r="J207" s="11" t="n">
        <x:f>I207/H207</x:f>
        <x:v>1.041981799133925</x:v>
      </x:c>
      <x:c r="K207" s="16" t="n">
        <x:f>COUNTIFS($J$8:$J$437,"&gt;"&amp;J207)+COUNTIFS($J$8:J207,J207)</x:f>
        <x:v>191</x:v>
      </x:c>
      <x:c r="L207" s="16" t="n">
        <x:f>IF(K207&lt;='Wyniki'!$B$6,1,0)</x:f>
        <x:v>0</x:v>
      </x:c>
      <x:c r="M207" s="17" t="n">
        <x:v>0.31024347790542495</x:v>
      </x:c>
      <x:c r="N207" s="18" t="n">
        <x:v>40</x:v>
      </x:c>
      <x:c r="O207" s="17" t="n">
        <x:v>0.308405779958557</x:v>
      </x:c>
      <x:c r="P207" s="11" t="n">
        <x:f>1/O207</x:f>
        <x:v>3.2424813832424872</x:v>
      </x:c>
      <x:c r="Q207" s="17" t="n">
        <x:v>3.306207273525603</x:v>
      </x:c>
      <x:c r="R207" s="11" t="n">
        <x:f>Q207/P207</x:f>
        <x:v>1.0196534328963178</x:v>
      </x:c>
      <x:c r="S207" s="16" t="n">
        <x:f>COUNTIFS($R$8:$R$437,"&gt;"&amp;R207)+COUNTIFS($R$8:R207,R207)</x:f>
        <x:v>240</x:v>
      </x:c>
      <x:c r="T207" s="16" t="n">
        <x:f>IF(S207&lt;='Wyniki'!$B$6,1,0)</x:f>
        <x:v>0</x:v>
      </x:c>
    </x:row>
    <x:row r="208" ht="22" customHeight="1">
      <x:c r="A208" s="18" t="n">
        <x:v>201</x:v>
      </x:c>
      <x:c r="B208" s="17" t="n">
        <x:v>-0.0987862776073022</x:v>
      </x:c>
      <x:c r="C208" s="17" t="n">
        <x:v>0.10822685316132649</x:v>
      </x:c>
      <x:c r="D208" s="18" t="n">
        <x:v>0</x:v>
      </x:c>
      <x:c r="E208" s="17" t="n">
        <x:v>0.10005905791239873</x:v>
      </x:c>
      <x:c r="F208" s="18" t="n">
        <x:v>10</x:v>
      </x:c>
      <x:c r="G208" s="17" t="n">
        <x:v>0.10168572817761574</x:v>
      </x:c>
      <x:c r="H208" s="11" t="n">
        <x:f>1/G208</x:f>
        <x:v>9.834221752862776</x:v>
      </x:c>
      <x:c r="I208" s="17" t="n">
        <x:v>9.456244379035923</x:v>
      </x:c>
      <x:c r="J208" s="11" t="n">
        <x:f>I208/H208</x:f>
        <x:v>0.9615650955077535</x:v>
      </x:c>
      <x:c r="K208" s="16" t="n">
        <x:f>COUNTIFS($J$8:$J$437,"&gt;"&amp;J208)+COUNTIFS($J$8:J208,J208)</x:f>
        <x:v>412</x:v>
      </x:c>
      <x:c r="L208" s="16" t="n">
        <x:f>IF(K208&lt;='Wyniki'!$B$6,1,0)</x:f>
        <x:v>0</x:v>
      </x:c>
      <x:c r="M208" s="17" t="n">
        <x:v>0.2526614834859376</x:v>
      </x:c>
      <x:c r="N208" s="18" t="n">
        <x:v>40</x:v>
      </x:c>
      <x:c r="O208" s="17" t="n">
        <x:v>0.2579530947392324</x:v>
      </x:c>
      <x:c r="P208" s="11" t="n">
        <x:f>1/O208</x:f>
        <x:v>3.8766737844758596</x:v>
      </x:c>
      <x:c r="Q208" s="17" t="n">
        <x:v>3.780494500434487</x:v>
      </x:c>
      <x:c r="R208" s="11" t="n">
        <x:f>Q208/P208</x:f>
        <x:v>0.9751902560317243</x:v>
      </x:c>
      <x:c r="S208" s="16" t="n">
        <x:f>COUNTIFS($R$8:$R$437,"&gt;"&amp;R208)+COUNTIFS($R$8:R208,R208)</x:f>
        <x:v>410</x:v>
      </x:c>
      <x:c r="T208" s="16" t="n">
        <x:f>IF(S208&lt;='Wyniki'!$B$6,1,0)</x:f>
        <x:v>0</x:v>
      </x:c>
    </x:row>
    <x:row r="209" ht="22" customHeight="1">
      <x:c r="A209" s="18" t="n">
        <x:v>202</x:v>
      </x:c>
      <x:c r="B209" s="17" t="n">
        <x:v>0.45129066147958036</x:v>
      </x:c>
      <x:c r="C209" s="17" t="n">
        <x:v>-0.2165576447235147</x:v>
      </x:c>
      <x:c r="D209" s="18" t="n">
        <x:v>0</x:v>
      </x:c>
      <x:c r="E209" s="17" t="n">
        <x:v>0.13993510756681143</x:v>
      </x:c>
      <x:c r="F209" s="18" t="n">
        <x:v>10</x:v>
      </x:c>
      <x:c r="G209" s="17" t="n">
        <x:v>0.14347425988139556</x:v>
      </x:c>
      <x:c r="H209" s="11" t="n">
        <x:f>1/G209</x:f>
        <x:v>6.969891329822228</x:v>
      </x:c>
      <x:c r="I209" s="17" t="n">
        <x:v>6.959019481573014</x:v>
      </x:c>
      <x:c r="J209" s="11" t="n">
        <x:f>I209/H209</x:f>
        <x:v>0.9984401696189013</x:v>
      </x:c>
      <x:c r="K209" s="16" t="n">
        <x:f>COUNTIFS($J$8:$J$437,"&gt;"&amp;J209)+COUNTIFS($J$8:J209,J209)</x:f>
        <x:v>316</x:v>
      </x:c>
      <x:c r="L209" s="16" t="n">
        <x:f>IF(K209&lt;='Wyniki'!$B$6,1,0)</x:f>
        <x:v>0</x:v>
      </x:c>
      <x:c r="M209" s="17" t="n">
        <x:v>0.3316531474535464</x:v>
      </x:c>
      <x:c r="N209" s="18" t="n">
        <x:v>40</x:v>
      </x:c>
      <x:c r="O209" s="17" t="n">
        <x:v>0.32343060598588924</x:v>
      </x:c>
      <x:c r="P209" s="11" t="n">
        <x:f>1/O209</x:f>
        <x:v>3.0918533419302574</x:v>
      </x:c>
      <x:c r="Q209" s="17" t="n">
        <x:v>3.199210792083845</x:v>
      </x:c>
      <x:c r="R209" s="11" t="n">
        <x:f>Q209/P209</x:f>
        <x:v>1.0347226851602747</x:v>
      </x:c>
      <x:c r="S209" s="16" t="n">
        <x:f>COUNTIFS($R$8:$R$437,"&gt;"&amp;R209)+COUNTIFS($R$8:R209,R209)</x:f>
        <x:v>216</x:v>
      </x:c>
      <x:c r="T209" s="16" t="n">
        <x:f>IF(S209&lt;='Wyniki'!$B$6,1,0)</x:f>
        <x:v>0</x:v>
      </x:c>
    </x:row>
    <x:row r="210" ht="22" customHeight="1">
      <x:c r="A210" s="18" t="n">
        <x:v>203</x:v>
      </x:c>
      <x:c r="B210" s="17" t="n">
        <x:v>0.286641990652662</x:v>
      </x:c>
      <x:c r="C210" s="17" t="n">
        <x:v>-0.14621133555345847</x:v>
      </x:c>
      <x:c r="D210" s="18" t="n">
        <x:v>0</x:v>
      </x:c>
      <x:c r="E210" s="17" t="n">
        <x:v>0.12302866524821332</x:v>
      </x:c>
      <x:c r="F210" s="18" t="n">
        <x:v>10</x:v>
      </x:c>
      <x:c r="G210" s="17" t="n">
        <x:v>0.13021035304937692</x:v>
      </x:c>
      <x:c r="H210" s="11" t="n">
        <x:f>1/G210</x:f>
        <x:v>7.679880874148242</x:v>
      </x:c>
      <x:c r="I210" s="17" t="n">
        <x:v>7.56342647870926</x:v>
      </x:c>
      <x:c r="J210" s="11" t="n">
        <x:f>I210/H210</x:f>
        <x:v>0.9848364320557386</x:v>
      </x:c>
      <x:c r="K210" s="16" t="n">
        <x:f>COUNTIFS($J$8:$J$437,"&gt;"&amp;J210)+COUNTIFS($J$8:J210,J210)</x:f>
        <x:v>366</x:v>
      </x:c>
      <x:c r="L210" s="16" t="n">
        <x:f>IF(K210&lt;='Wyniki'!$B$6,1,0)</x:f>
        <x:v>0</x:v>
      </x:c>
      <x:c r="M210" s="17" t="n">
        <x:v>0.28639545539312145</x:v>
      </x:c>
      <x:c r="N210" s="18" t="n">
        <x:v>40</x:v>
      </x:c>
      <x:c r="O210" s="17" t="n">
        <x:v>0.27932259620716343</x:v>
      </x:c>
      <x:c r="P210" s="11" t="n">
        <x:f>1/O210</x:f>
        <x:v>3.5800898802270056</x:v>
      </x:c>
      <x:c r="Q210" s="17" t="n">
        <x:v>3.5514323895390825</x:v>
      </x:c>
      <x:c r="R210" s="11" t="n">
        <x:f>Q210/P210</x:f>
        <x:v>0.9919953153002667</x:v>
      </x:c>
      <x:c r="S210" s="16" t="n">
        <x:f>COUNTIFS($R$8:$R$437,"&gt;"&amp;R210)+COUNTIFS($R$8:R210,R210)</x:f>
        <x:v>338</x:v>
      </x:c>
      <x:c r="T210" s="16" t="n">
        <x:f>IF(S210&lt;='Wyniki'!$B$6,1,0)</x:f>
        <x:v>0</x:v>
      </x:c>
    </x:row>
    <x:row r="211" ht="22" customHeight="1">
      <x:c r="A211" s="18" t="n">
        <x:v>204</x:v>
      </x:c>
      <x:c r="B211" s="17" t="n">
        <x:v>-0.0646481920304717</x:v>
      </x:c>
      <x:c r="C211" s="17" t="n">
        <x:v>0.4562354731132402</x:v>
      </x:c>
      <x:c r="D211" s="18" t="n">
        <x:v>0</x:v>
      </x:c>
      <x:c r="E211" s="17" t="n">
        <x:v>0.16214619128500676</x:v>
      </x:c>
      <x:c r="F211" s="18" t="n">
        <x:v>10</x:v>
      </x:c>
      <x:c r="G211" s="17" t="n">
        <x:v>0.16740917434317867</x:v>
      </x:c>
      <x:c r="H211" s="11" t="n">
        <x:f>1/G211</x:f>
        <x:v>5.9733882800835065</x:v>
      </x:c>
      <x:c r="I211" s="17" t="n">
        <x:v>6.080938836657245</x:v>
      </x:c>
      <x:c r="J211" s="11" t="n">
        <x:f>I211/H211</x:f>
        <x:v>1.018004949876159</x:v>
      </x:c>
      <x:c r="K211" s="16" t="n">
        <x:f>COUNTIFS($J$8:$J$437,"&gt;"&amp;J211)+COUNTIFS($J$8:J211,J211)</x:f>
        <x:v>246</x:v>
      </x:c>
      <x:c r="L211" s="16" t="n">
        <x:f>IF(K211&lt;='Wyniki'!$B$6,1,0)</x:f>
        <x:v>0</x:v>
      </x:c>
      <x:c r="M211" s="17" t="n">
        <x:v>0.3017301518423445</x:v>
      </x:c>
      <x:c r="N211" s="18" t="n">
        <x:v>40</x:v>
      </x:c>
      <x:c r="O211" s="17" t="n">
        <x:v>0.3135353140588858</x:v>
      </x:c>
      <x:c r="P211" s="11" t="n">
        <x:f>1/O211</x:f>
        <x:v>3.189433391264461</x:v>
      </x:c>
      <x:c r="Q211" s="17" t="n">
        <x:v>3.2564999346771244</x:v>
      </x:c>
      <x:c r="R211" s="11" t="n">
        <x:f>Q211/P211</x:f>
        <x:v>1.0210277297517334</x:v>
      </x:c>
      <x:c r="S211" s="16" t="n">
        <x:f>COUNTIFS($R$8:$R$437,"&gt;"&amp;R211)+COUNTIFS($R$8:R211,R211)</x:f>
        <x:v>238</x:v>
      </x:c>
      <x:c r="T211" s="16" t="n">
        <x:f>IF(S211&lt;='Wyniki'!$B$6,1,0)</x:f>
        <x:v>0</x:v>
      </x:c>
    </x:row>
    <x:row r="212" ht="22" customHeight="1">
      <x:c r="A212" s="18" t="n">
        <x:v>205</x:v>
      </x:c>
      <x:c r="B212" s="17" t="n">
        <x:v>-1.0961832040797859</x:v>
      </x:c>
      <x:c r="C212" s="17" t="n">
        <x:v>-0.7130597804411186</x:v>
      </x:c>
      <x:c r="D212" s="18" t="n">
        <x:v>0</x:v>
      </x:c>
      <x:c r="E212" s="17" t="n">
        <x:v>0.32615061984396976</x:v>
      </x:c>
      <x:c r="F212" s="18" t="n">
        <x:v>10</x:v>
      </x:c>
      <x:c r="G212" s="17" t="n">
        <x:v>0.36403551813677454</x:v>
      </x:c>
      <x:c r="H212" s="11" t="n">
        <x:f>1/G212</x:f>
        <x:v>2.74698470390541</x:v>
      </x:c>
      <x:c r="I212" s="17" t="n">
        <x:v>3.0284404210832827</x:v>
      </x:c>
      <x:c r="J212" s="11" t="n">
        <x:f>I212/H212</x:f>
        <x:v>1.1024598778354044</x:v>
      </x:c>
      <x:c r="K212" s="16" t="n">
        <x:f>COUNTIFS($J$8:$J$437,"&gt;"&amp;J212)+COUNTIFS($J$8:J212,J212)</x:f>
        <x:v>112</x:v>
      </x:c>
      <x:c r="L212" s="16" t="n">
        <x:f>IF(K212&lt;='Wyniki'!$B$6,1,0)</x:f>
        <x:v>0</x:v>
      </x:c>
      <x:c r="M212" s="17" t="n">
        <x:v>0.6760135610875148</x:v>
      </x:c>
      <x:c r="N212" s="18" t="n">
        <x:v>40</x:v>
      </x:c>
      <x:c r="O212" s="17" t="n">
        <x:v>0.625737404054594</x:v>
      </x:c>
      <x:c r="P212" s="11" t="n">
        <x:f>1/O212</x:f>
        <x:v>1.5981144702558847</x:v>
      </x:c>
      <x:c r="Q212" s="17" t="n">
        <x:v>2.118802943051341</x:v>
      </x:c>
      <x:c r="R212" s="11" t="n">
        <x:f>Q212/P212</x:f>
        <x:v>1.32581425328818</x:v>
      </x:c>
      <x:c r="S212" s="16" t="n">
        <x:f>COUNTIFS($R$8:$R$437,"&gt;"&amp;R212)+COUNTIFS($R$8:R212,R212)</x:f>
        <x:v>76</x:v>
      </x:c>
      <x:c r="T212" s="16" t="n">
        <x:f>IF(S212&lt;='Wyniki'!$B$6,1,0)</x:f>
        <x:v>0</x:v>
      </x:c>
    </x:row>
    <x:row r="213" ht="22" customHeight="1">
      <x:c r="A213" s="18" t="n">
        <x:v>206</x:v>
      </x:c>
      <x:c r="B213" s="17" t="n">
        <x:v>-0.8152019685935514</x:v>
      </x:c>
      <x:c r="C213" s="17" t="n">
        <x:v>-1.2834888659165677</x:v>
      </x:c>
      <x:c r="D213" s="18" t="n">
        <x:v>0</x:v>
      </x:c>
      <x:c r="E213" s="17" t="n">
        <x:v>0.6204203387871388</x:v>
      </x:c>
      <x:c r="F213" s="18" t="n">
        <x:v>10</x:v>
      </x:c>
      <x:c r="G213" s="17" t="n">
        <x:v>0.5347220355604372</x:v>
      </x:c>
      <x:c r="H213" s="11" t="n">
        <x:f>1/G213</x:f>
        <x:v>1.8701305229583616</x:v>
      </x:c>
      <x:c r="I213" s="17" t="n">
        <x:v>2.7573011477132665</x:v>
      </x:c>
      <x:c r="J213" s="11" t="n">
        <x:f>I213/H213</x:f>
        <x:v>1.4743896823583675</x:v>
      </x:c>
      <x:c r="K213" s="16" t="n">
        <x:f>COUNTIFS($J$8:$J$437,"&gt;"&amp;J213)+COUNTIFS($J$8:J213,J213)</x:f>
        <x:v>21</x:v>
      </x:c>
      <x:c r="L213" s="16" t="n">
        <x:f>IF(K213&lt;='Wyniki'!$B$6,1,0)</x:f>
        <x:v>1</x:v>
      </x:c>
      <x:c r="M213" s="17" t="n">
        <x:v>0.8442119075017342</x:v>
      </x:c>
      <x:c r="N213" s="18" t="n">
        <x:v>40</x:v>
      </x:c>
      <x:c r="O213" s="17" t="n">
        <x:v>0.7493028217866742</x:v>
      </x:c>
      <x:c r="P213" s="11" t="n">
        <x:f>1/O213</x:f>
        <x:v>1.3345739144763278</x:v>
      </x:c>
      <x:c r="Q213" s="17" t="n">
        <x:v>2.174324263133814</x:v>
      </x:c>
      <x:c r="R213" s="11" t="n">
        <x:f>Q213/P213</x:f>
        <x:v>1.629227305845398</x:v>
      </x:c>
      <x:c r="S213" s="16" t="n">
        <x:f>COUNTIFS($R$8:$R$437,"&gt;"&amp;R213)+COUNTIFS($R$8:R213,R213)</x:f>
        <x:v>42</x:v>
      </x:c>
      <x:c r="T213" s="16" t="n">
        <x:f>IF(S213&lt;='Wyniki'!$B$6,1,0)</x:f>
        <x:v>0</x:v>
      </x:c>
    </x:row>
    <x:row r="214" ht="22" customHeight="1">
      <x:c r="A214" s="18" t="n">
        <x:v>207</x:v>
      </x:c>
      <x:c r="B214" s="17" t="n">
        <x:v>-0.37304544208534723</x:v>
      </x:c>
      <x:c r="C214" s="17" t="n">
        <x:v>0.41218864485025725</x:v>
      </x:c>
      <x:c r="D214" s="18" t="n">
        <x:v>0</x:v>
      </x:c>
      <x:c r="E214" s="17" t="n">
        <x:v>0.1673478172710558</x:v>
      </x:c>
      <x:c r="F214" s="18" t="n">
        <x:v>10</x:v>
      </x:c>
      <x:c r="G214" s="17" t="n">
        <x:v>0.17660338066486045</x:v>
      </x:c>
      <x:c r="H214" s="11" t="n">
        <x:f>1/G214</x:f>
        <x:v>5.662405760497282</x:v>
      </x:c>
      <x:c r="I214" s="17" t="n">
        <x:v>6.19811333409898</x:v>
      </x:c>
      <x:c r="J214" s="11" t="n">
        <x:f>I214/H214</x:f>
        <x:v>1.0946077685458295</x:v>
      </x:c>
      <x:c r="K214" s="16" t="n">
        <x:f>COUNTIFS($J$8:$J$437,"&gt;"&amp;J214)+COUNTIFS($J$8:J214,J214)</x:f>
        <x:v>122</x:v>
      </x:c>
      <x:c r="L214" s="16" t="n">
        <x:f>IF(K214&lt;='Wyniki'!$B$6,1,0)</x:f>
        <x:v>0</x:v>
      </x:c>
      <x:c r="M214" s="17" t="n">
        <x:v>0.3570242560152076</x:v>
      </x:c>
      <x:c r="N214" s="18" t="n">
        <x:v>40</x:v>
      </x:c>
      <x:c r="O214" s="17" t="n">
        <x:v>0.3346518986906126</x:v>
      </x:c>
      <x:c r="P214" s="11" t="n">
        <x:f>1/O214</x:f>
        <x:v>2.9881796694197305</x:v>
      </x:c>
      <x:c r="Q214" s="17" t="n">
        <x:v>3.1208736010605906</x:v>
      </x:c>
      <x:c r="R214" s="11" t="n">
        <x:f>Q214/P214</x:f>
        <x:v>1.0444062761683361</x:v>
      </x:c>
      <x:c r="S214" s="16" t="n">
        <x:f>COUNTIFS($R$8:$R$437,"&gt;"&amp;R214)+COUNTIFS($R$8:R214,R214)</x:f>
        <x:v>205</x:v>
      </x:c>
      <x:c r="T214" s="16" t="n">
        <x:f>IF(S214&lt;='Wyniki'!$B$6,1,0)</x:f>
        <x:v>0</x:v>
      </x:c>
    </x:row>
    <x:row r="215" ht="22" customHeight="1">
      <x:c r="A215" s="18" t="n">
        <x:v>208</x:v>
      </x:c>
      <x:c r="B215" s="17" t="n">
        <x:v>-0.15668623651041613</x:v>
      </x:c>
      <x:c r="C215" s="17" t="n">
        <x:v>0.10878454506801868</x:v>
      </x:c>
      <x:c r="D215" s="18" t="n">
        <x:v>0</x:v>
      </x:c>
      <x:c r="E215" s="17" t="n">
        <x:v>0.1034643323382203</x:v>
      </x:c>
      <x:c r="F215" s="18" t="n">
        <x:v>10</x:v>
      </x:c>
      <x:c r="G215" s="17" t="n">
        <x:v>0.1069095230300583</x:v>
      </x:c>
      <x:c r="H215" s="11" t="n">
        <x:f>1/G215</x:f>
        <x:v>9.353703689416363</x:v>
      </x:c>
      <x:c r="I215" s="17" t="n">
        <x:v>9.227376764107799</x:v>
      </x:c>
      <x:c r="J215" s="11" t="n">
        <x:f>I215/H215</x:f>
        <x:v>0.9864944486694076</x:v>
      </x:c>
      <x:c r="K215" s="16" t="n">
        <x:f>COUNTIFS($J$8:$J$437,"&gt;"&amp;J215)+COUNTIFS($J$8:J215,J215)</x:f>
        <x:v>360</x:v>
      </x:c>
      <x:c r="L215" s="16" t="n">
        <x:f>IF(K215&lt;='Wyniki'!$B$6,1,0)</x:f>
        <x:v>0</x:v>
      </x:c>
      <x:c r="M215" s="17" t="n">
        <x:v>0.2512941239808965</x:v>
      </x:c>
      <x:c r="N215" s="18" t="n">
        <x:v>40</x:v>
      </x:c>
      <x:c r="O215" s="17" t="n">
        <x:v>0.2628941877746686</x:v>
      </x:c>
      <x:c r="P215" s="11" t="n">
        <x:f>1/O215</x:f>
        <x:v>3.8038117482350664</x:v>
      </x:c>
      <x:c r="Q215" s="17" t="n">
        <x:v>3.6995475207467963</x:v>
      </x:c>
      <x:c r="R215" s="11" t="n">
        <x:f>Q215/P215</x:f>
        <x:v>0.9725895406005179</x:v>
      </x:c>
      <x:c r="S215" s="16" t="n">
        <x:f>COUNTIFS($R$8:$R$437,"&gt;"&amp;R215)+COUNTIFS($R$8:R215,R215)</x:f>
        <x:v>418</x:v>
      </x:c>
      <x:c r="T215" s="16" t="n">
        <x:f>IF(S215&lt;='Wyniki'!$B$6,1,0)</x:f>
        <x:v>0</x:v>
      </x:c>
    </x:row>
    <x:row r="216" ht="22" customHeight="1">
      <x:c r="A216" s="18" t="n">
        <x:v>209</x:v>
      </x:c>
      <x:c r="B216" s="17" t="n">
        <x:v>0.5990696231909359</x:v>
      </x:c>
      <x:c r="C216" s="17" t="n">
        <x:v>0.7302273727472305</x:v>
      </x:c>
      <x:c r="D216" s="18" t="n">
        <x:v>0</x:v>
      </x:c>
      <x:c r="E216" s="17" t="n">
        <x:v>0.2962282453317787</x:v>
      </x:c>
      <x:c r="F216" s="18" t="n">
        <x:v>10</x:v>
      </x:c>
      <x:c r="G216" s="17" t="n">
        <x:v>0.2822771715706264</x:v>
      </x:c>
      <x:c r="H216" s="11" t="n">
        <x:f>1/G216</x:f>
        <x:v>3.542617330462367</x:v>
      </x:c>
      <x:c r="I216" s="17" t="n">
        <x:v>4.361474996890336</x:v>
      </x:c>
      <x:c r="J216" s="11" t="n">
        <x:f>I216/H216</x:f>
        <x:v>1.2311448259982105</x:v>
      </x:c>
      <x:c r="K216" s="16" t="n">
        <x:f>COUNTIFS($J$8:$J$437,"&gt;"&amp;J216)+COUNTIFS($J$8:J216,J216)</x:f>
        <x:v>58</x:v>
      </x:c>
      <x:c r="L216" s="16" t="n">
        <x:f>IF(K216&lt;='Wyniki'!$B$6,1,0)</x:f>
        <x:v>0</x:v>
      </x:c>
      <x:c r="M216" s="17" t="n">
        <x:v>0.4911309803792549</x:v>
      </x:c>
      <x:c r="N216" s="18" t="n">
        <x:v>40</x:v>
      </x:c>
      <x:c r="O216" s="17" t="n">
        <x:v>0.4506838845099006</x:v>
      </x:c>
      <x:c r="P216" s="11" t="n">
        <x:f>1/O216</x:f>
        <x:v>2.218850139466285</x:v>
      </x:c>
      <x:c r="Q216" s="17" t="n">
        <x:v>2.662010198993073</x:v>
      </x:c>
      <x:c r="R216" s="11" t="n">
        <x:f>Q216/P216</x:f>
        <x:v>1.1997250970871716</x:v>
      </x:c>
      <x:c r="S216" s="16" t="n">
        <x:f>COUNTIFS($R$8:$R$437,"&gt;"&amp;R216)+COUNTIFS($R$8:R216,R216)</x:f>
        <x:v>115</x:v>
      </x:c>
      <x:c r="T216" s="16" t="n">
        <x:f>IF(S216&lt;='Wyniki'!$B$6,1,0)</x:f>
        <x:v>0</x:v>
      </x:c>
    </x:row>
    <x:row r="217" ht="22" customHeight="1">
      <x:c r="A217" s="18" t="n">
        <x:v>210</x:v>
      </x:c>
      <x:c r="B217" s="17" t="n">
        <x:v>-0.038025864099376756</x:v>
      </x:c>
      <x:c r="C217" s="17" t="n">
        <x:v>0.7444722392631685</x:v>
      </x:c>
      <x:c r="D217" s="18" t="n">
        <x:v>0</x:v>
      </x:c>
      <x:c r="E217" s="17" t="n">
        <x:v>0.1725729305124944</x:v>
      </x:c>
      <x:c r="F217" s="18" t="n">
        <x:v>10</x:v>
      </x:c>
      <x:c r="G217" s="17" t="n">
        <x:v>0.1749204145696291</x:v>
      </x:c>
      <x:c r="H217" s="11" t="n">
        <x:f>1/G217</x:f>
        <x:v>5.716885604578409</x:v>
      </x:c>
      <x:c r="I217" s="17" t="n">
        <x:v>5.638161283643468</x:v>
      </x:c>
      <x:c r="J217" s="11" t="n">
        <x:f>I217/H217</x:f>
        <x:v>0.9862295091453476</x:v>
      </x:c>
      <x:c r="K217" s="16" t="n">
        <x:f>COUNTIFS($J$8:$J$437,"&gt;"&amp;J217)+COUNTIFS($J$8:J217,J217)</x:f>
        <x:v>361</x:v>
      </x:c>
      <x:c r="L217" s="16" t="n">
        <x:f>IF(K217&lt;='Wyniki'!$B$6,1,0)</x:f>
        <x:v>0</x:v>
      </x:c>
      <x:c r="M217" s="17" t="n">
        <x:v>0.38753418141562834</x:v>
      </x:c>
      <x:c r="N217" s="18" t="n">
        <x:v>40</x:v>
      </x:c>
      <x:c r="O217" s="17" t="n">
        <x:v>0.39416284518270095</x:v>
      </x:c>
      <x:c r="P217" s="11" t="n">
        <x:f>1/O217</x:f>
        <x:v>2.5370224825134993</x:v>
      </x:c>
      <x:c r="Q217" s="17" t="n">
        <x:v>2.7139456818977457</x:v>
      </x:c>
      <x:c r="R217" s="11" t="n">
        <x:f>Q217/P217</x:f>
        <x:v>1.0697365516481208</x:v>
      </x:c>
      <x:c r="S217" s="16" t="n">
        <x:f>COUNTIFS($R$8:$R$437,"&gt;"&amp;R217)+COUNTIFS($R$8:R217,R217)</x:f>
        <x:v>175</x:v>
      </x:c>
      <x:c r="T217" s="16" t="n">
        <x:f>IF(S217&lt;='Wyniki'!$B$6,1,0)</x:f>
        <x:v>0</x:v>
      </x:c>
    </x:row>
    <x:row r="218" ht="22" customHeight="1">
      <x:c r="A218" s="18" t="n">
        <x:v>211</x:v>
      </x:c>
      <x:c r="B218" s="17" t="n">
        <x:v>0.05066966213876007</x:v>
      </x:c>
      <x:c r="C218" s="17" t="n">
        <x:v>-0.46056902310510417</x:v>
      </x:c>
      <x:c r="D218" s="18" t="n">
        <x:v>0</x:v>
      </x:c>
      <x:c r="E218" s="17" t="n">
        <x:v>0.1542560467072072</x:v>
      </x:c>
      <x:c r="F218" s="18" t="n">
        <x:v>10</x:v>
      </x:c>
      <x:c r="G218" s="17" t="n">
        <x:v>0.1410724129413482</x:v>
      </x:c>
      <x:c r="H218" s="11" t="n">
        <x:f>1/G218</x:f>
        <x:v>7.088558132310083</x:v>
      </x:c>
      <x:c r="I218" s="17" t="n">
        <x:v>6.678584297893295</x:v>
      </x:c>
      <x:c r="J218" s="11" t="n">
        <x:f>I218/H218</x:f>
        <x:v>0.9421640019360069</x:v>
      </x:c>
      <x:c r="K218" s="16" t="n">
        <x:f>COUNTIFS($J$8:$J$437,"&gt;"&amp;J218)+COUNTIFS($J$8:J218,J218)</x:f>
        <x:v>427</x:v>
      </x:c>
      <x:c r="L218" s="16" t="n">
        <x:f>IF(K218&lt;='Wyniki'!$B$6,1,0)</x:f>
        <x:v>0</x:v>
      </x:c>
      <x:c r="M218" s="17" t="n">
        <x:v>0.2873078415159322</x:v>
      </x:c>
      <x:c r="N218" s="18" t="n">
        <x:v>40</x:v>
      </x:c>
      <x:c r="O218" s="17" t="n">
        <x:v>0.3067129512483208</x:v>
      </x:c>
      <x:c r="P218" s="11" t="n">
        <x:f>1/O218</x:f>
        <x:v>3.2603774830179257</x:v>
      </x:c>
      <x:c r="Q218" s="17" t="n">
        <x:v>3.2137403003301848</x:v>
      </x:c>
      <x:c r="R218" s="11" t="n">
        <x:f>Q218/P218</x:f>
        <x:v>0.9856957720599359</x:v>
      </x:c>
      <x:c r="S218" s="16" t="n">
        <x:f>COUNTIFS($R$8:$R$437,"&gt;"&amp;R218)+COUNTIFS($R$8:R218,R218)</x:f>
        <x:v>363</x:v>
      </x:c>
      <x:c r="T218" s="16" t="n">
        <x:f>IF(S218&lt;='Wyniki'!$B$6,1,0)</x:f>
        <x:v>0</x:v>
      </x:c>
    </x:row>
    <x:row r="219" ht="22" customHeight="1">
      <x:c r="A219" s="18" t="n">
        <x:v>212</x:v>
      </x:c>
      <x:c r="B219" s="17" t="n">
        <x:v>-0.3269201937093044</x:v>
      </x:c>
      <x:c r="C219" s="17" t="n">
        <x:v>-0.814295081910759</x:v>
      </x:c>
      <x:c r="D219" s="18" t="n">
        <x:v>0</x:v>
      </x:c>
      <x:c r="E219" s="17" t="n">
        <x:v>0.1986219695696094</x:v>
      </x:c>
      <x:c r="F219" s="18" t="n">
        <x:v>10</x:v>
      </x:c>
      <x:c r="G219" s="17" t="n">
        <x:v>0.18128905244588137</x:v>
      </x:c>
      <x:c r="H219" s="11" t="n">
        <x:f>1/G219</x:f>
        <x:v>5.51605288079114</x:v>
      </x:c>
      <x:c r="I219" s="17" t="n">
        <x:v>5.725662046705743</x:v>
      </x:c>
      <x:c r="J219" s="11" t="n">
        <x:f>I219/H219</x:f>
        <x:v>1.03799984707263</x:v>
      </x:c>
      <x:c r="K219" s="16" t="n">
        <x:f>COUNTIFS($J$8:$J$437,"&gt;"&amp;J219)+COUNTIFS($J$8:J219,J219)</x:f>
        <x:v>200</x:v>
      </x:c>
      <x:c r="L219" s="16" t="n">
        <x:f>IF(K219&lt;='Wyniki'!$B$6,1,0)</x:f>
        <x:v>0</x:v>
      </x:c>
      <x:c r="M219" s="17" t="n">
        <x:v>0.4403166770596248</x:v>
      </x:c>
      <x:c r="N219" s="18" t="n">
        <x:v>40</x:v>
      </x:c>
      <x:c r="O219" s="17" t="n">
        <x:v>0.4020588482130095</x:v>
      </x:c>
      <x:c r="P219" s="11" t="n">
        <x:f>1/O219</x:f>
        <x:v>2.487198091634096</x:v>
      </x:c>
      <x:c r="Q219" s="17" t="n">
        <x:v>2.657115609169792</x:v>
      </x:c>
      <x:c r="R219" s="11" t="n">
        <x:f>Q219/P219</x:f>
        <x:v>1.0683168413916158</x:v>
      </x:c>
      <x:c r="S219" s="16" t="n">
        <x:f>COUNTIFS($R$8:$R$437,"&gt;"&amp;R219)+COUNTIFS($R$8:R219,R219)</x:f>
        <x:v>176</x:v>
      </x:c>
      <x:c r="T219" s="16" t="n">
        <x:f>IF(S219&lt;='Wyniki'!$B$6,1,0)</x:f>
        <x:v>0</x:v>
      </x:c>
    </x:row>
    <x:row r="220" ht="22" customHeight="1">
      <x:c r="A220" s="18" t="n">
        <x:v>213</x:v>
      </x:c>
      <x:c r="B220" s="17" t="n">
        <x:v>-0.4884736195535089</x:v>
      </x:c>
      <x:c r="C220" s="17" t="n">
        <x:v>-0.19690917844093606</x:v>
      </x:c>
      <x:c r="D220" s="18" t="n">
        <x:v>0</x:v>
      </x:c>
      <x:c r="E220" s="17" t="n">
        <x:v>0.13727979517652744</x:v>
      </x:c>
      <x:c r="F220" s="18" t="n">
        <x:v>10</x:v>
      </x:c>
      <x:c r="G220" s="17" t="n">
        <x:v>0.13324473059380787</x:v>
      </x:c>
      <x:c r="H220" s="11" t="n">
        <x:f>1/G220</x:f>
        <x:v>7.504987218207275</x:v>
      </x:c>
      <x:c r="I220" s="17" t="n">
        <x:v>7.185604216853173</x:v>
      </x:c>
      <x:c r="J220" s="11" t="n">
        <x:f>I220/H220</x:f>
        <x:v>0.957443898028331</x:v>
      </x:c>
      <x:c r="K220" s="16" t="n">
        <x:f>COUNTIFS($J$8:$J$437,"&gt;"&amp;J220)+COUNTIFS($J$8:J220,J220)</x:f>
        <x:v>413</x:v>
      </x:c>
      <x:c r="L220" s="16" t="n">
        <x:f>IF(K220&lt;='Wyniki'!$B$6,1,0)</x:f>
        <x:v>0</x:v>
      </x:c>
      <x:c r="M220" s="17" t="n">
        <x:v>0.3265150633934241</x:v>
      </x:c>
      <x:c r="N220" s="18" t="n">
        <x:v>40</x:v>
      </x:c>
      <x:c r="O220" s="17" t="n">
        <x:v>0.3300222680319216</x:v>
      </x:c>
      <x:c r="P220" s="11" t="n">
        <x:f>1/O220</x:f>
        <x:v>3.030098562631763</x:v>
      </x:c>
      <x:c r="Q220" s="17" t="n">
        <x:v>3.062620818576634</x:v>
      </x:c>
      <x:c r="R220" s="11" t="n">
        <x:f>Q220/P220</x:f>
        <x:v>1.0107330686684408</x:v>
      </x:c>
      <x:c r="S220" s="16" t="n">
        <x:f>COUNTIFS($R$8:$R$437,"&gt;"&amp;R220)+COUNTIFS($R$8:R220,R220)</x:f>
        <x:v>264</x:v>
      </x:c>
      <x:c r="T220" s="16" t="n">
        <x:f>IF(S220&lt;='Wyniki'!$B$6,1,0)</x:f>
        <x:v>0</x:v>
      </x:c>
    </x:row>
    <x:row r="221" ht="22" customHeight="1">
      <x:c r="A221" s="18" t="n">
        <x:v>214</x:v>
      </x:c>
      <x:c r="B221" s="17" t="n">
        <x:v>0.4419717606582309</x:v>
      </x:c>
      <x:c r="C221" s="17" t="n">
        <x:v>0.9464234071412911</x:v>
      </x:c>
      <x:c r="D221" s="18" t="n">
        <x:v>0</x:v>
      </x:c>
      <x:c r="E221" s="17" t="n">
        <x:v>0.31277752318165025</x:v>
      </x:c>
      <x:c r="F221" s="18" t="n">
        <x:v>10</x:v>
      </x:c>
      <x:c r="G221" s="17" t="n">
        <x:v>0.28942990553102366</x:v>
      </x:c>
      <x:c r="H221" s="11" t="n">
        <x:f>1/G221</x:f>
        <x:v>3.4550679832661975</x:v>
      </x:c>
      <x:c r="I221" s="17" t="n">
        <x:v>4.495923449013645</x:v>
      </x:c>
      <x:c r="J221" s="11" t="n">
        <x:f>I221/H221</x:f>
        <x:v>1.3012546991227334</x:v>
      </x:c>
      <x:c r="K221" s="16" t="n">
        <x:f>COUNTIFS($J$8:$J$437,"&gt;"&amp;J221)+COUNTIFS($J$8:J221,J221)</x:f>
        <x:v>43</x:v>
      </x:c>
      <x:c r="L221" s="16" t="n">
        <x:f>IF(K221&lt;='Wyniki'!$B$6,1,0)</x:f>
        <x:v>0</x:v>
      </x:c>
      <x:c r="M221" s="17" t="n">
        <x:v>0.5552627642257246</x:v>
      </x:c>
      <x:c r="N221" s="18" t="n">
        <x:v>40</x:v>
      </x:c>
      <x:c r="O221" s="17" t="n">
        <x:v>0.49825654452645346</x:v>
      </x:c>
      <x:c r="P221" s="11" t="n">
        <x:f>1/O221</x:f>
        <x:v>2.0069982240783353</x:v>
      </x:c>
      <x:c r="Q221" s="17" t="n">
        <x:v>2.511031848738051</x:v>
      </x:c>
      <x:c r="R221" s="11" t="n">
        <x:f>Q221/P221</x:f>
        <x:v>1.2511380521480933</x:v>
      </x:c>
      <x:c r="S221" s="16" t="n">
        <x:f>COUNTIFS($R$8:$R$437,"&gt;"&amp;R221)+COUNTIFS($R$8:R221,R221)</x:f>
        <x:v>96</x:v>
      </x:c>
      <x:c r="T221" s="16" t="n">
        <x:f>IF(S221&lt;='Wyniki'!$B$6,1,0)</x:f>
        <x:v>0</x:v>
      </x:c>
    </x:row>
    <x:row r="222" ht="22" customHeight="1">
      <x:c r="A222" s="18" t="n">
        <x:v>215</x:v>
      </x:c>
      <x:c r="B222" s="17" t="n">
        <x:v>-0.7601998334573721</x:v>
      </x:c>
      <x:c r="C222" s="17" t="n">
        <x:v>0.21605510754295543</x:v>
      </x:c>
      <x:c r="D222" s="18" t="n">
        <x:v>0</x:v>
      </x:c>
      <x:c r="E222" s="17" t="n">
        <x:v>0.1894679678972486</x:v>
      </x:c>
      <x:c r="F222" s="18" t="n">
        <x:v>10</x:v>
      </x:c>
      <x:c r="G222" s="17" t="n">
        <x:v>0.2361106457610393</x:v>
      </x:c>
      <x:c r="H222" s="11" t="n">
        <x:f>1/G222</x:f>
        <x:v>4.2353024649810616</x:v>
      </x:c>
      <x:c r="I222" s="17" t="n">
        <x:v>4.589127383782003</x:v>
      </x:c>
      <x:c r="J222" s="11" t="n">
        <x:f>I222/H222</x:f>
        <x:v>1.0835418300644375</x:v>
      </x:c>
      <x:c r="K222" s="16" t="n">
        <x:f>COUNTIFS($J$8:$J$437,"&gt;"&amp;J222)+COUNTIFS($J$8:J222,J222)</x:f>
        <x:v>137</x:v>
      </x:c>
      <x:c r="L222" s="16" t="n">
        <x:f>IF(K222&lt;='Wyniki'!$B$6,1,0)</x:f>
        <x:v>0</x:v>
      </x:c>
      <x:c r="M222" s="17" t="n">
        <x:v>0.4180951990095233</x:v>
      </x:c>
      <x:c r="N222" s="18" t="n">
        <x:v>40</x:v>
      </x:c>
      <x:c r="O222" s="17" t="n">
        <x:v>0.403694107325525</x:v>
      </x:c>
      <x:c r="P222" s="11" t="n">
        <x:f>1/O222</x:f>
        <x:v>2.477123103492899</x:v>
      </x:c>
      <x:c r="Q222" s="17" t="n">
        <x:v>2.735289901297776</x:v>
      </x:c>
      <x:c r="R222" s="11" t="n">
        <x:f>Q222/P222</x:f>
        <x:v>1.1042204149809292</x:v>
      </x:c>
      <x:c r="S222" s="16" t="n">
        <x:f>COUNTIFS($R$8:$R$437,"&gt;"&amp;R222)+COUNTIFS($R$8:R222,R222)</x:f>
        <x:v>152</x:v>
      </x:c>
      <x:c r="T222" s="16" t="n">
        <x:f>IF(S222&lt;='Wyniki'!$B$6,1,0)</x:f>
        <x:v>0</x:v>
      </x:c>
    </x:row>
    <x:row r="223" ht="22" customHeight="1">
      <x:c r="A223" s="18" t="n">
        <x:v>216</x:v>
      </x:c>
      <x:c r="B223" s="17" t="n">
        <x:v>-0.5722991665366439</x:v>
      </x:c>
      <x:c r="C223" s="17" t="n">
        <x:v>0.2610833986547611</x:v>
      </x:c>
      <x:c r="D223" s="18" t="n">
        <x:v>0</x:v>
      </x:c>
      <x:c r="E223" s="17" t="n">
        <x:v>0.1627520691137701</x:v>
      </x:c>
      <x:c r="F223" s="18" t="n">
        <x:v>10</x:v>
      </x:c>
      <x:c r="G223" s="17" t="n">
        <x:v>0.16867337675205812</x:v>
      </x:c>
      <x:c r="H223" s="11" t="n">
        <x:f>1/G223</x:f>
        <x:v>5.928617896053344</x:v>
      </x:c>
      <x:c r="I223" s="17" t="n">
        <x:v>6.053268113257946</x:v>
      </x:c>
      <x:c r="J223" s="11" t="n">
        <x:f>I223/H223</x:f>
        <x:v>1.0210251730487776</x:v>
      </x:c>
      <x:c r="K223" s="16" t="n">
        <x:f>COUNTIFS($J$8:$J$437,"&gt;"&amp;J223)+COUNTIFS($J$8:J223,J223)</x:f>
        <x:v>241</x:v>
      </x:c>
      <x:c r="L223" s="16" t="n">
        <x:f>IF(K223&lt;='Wyniki'!$B$6,1,0)</x:f>
        <x:v>0</x:v>
      </x:c>
      <x:c r="M223" s="17" t="n">
        <x:v>0.3732806130734299</x:v>
      </x:c>
      <x:c r="N223" s="18" t="n">
        <x:v>40</x:v>
      </x:c>
      <x:c r="O223" s="17" t="n">
        <x:v>0.365059876809532</x:v>
      </x:c>
      <x:c r="P223" s="11" t="n">
        <x:f>1/O223</x:f>
        <x:v>2.73927665987173</x:v>
      </x:c>
      <x:c r="Q223" s="17" t="n">
        <x:v>2.86029174110202</x:v>
      </x:c>
      <x:c r="R223" s="11" t="n">
        <x:f>Q223/P223</x:f>
        <x:v>1.0441777506460252</x:v>
      </x:c>
      <x:c r="S223" s="16" t="n">
        <x:f>COUNTIFS($R$8:$R$437,"&gt;"&amp;R223)+COUNTIFS($R$8:R223,R223)</x:f>
        <x:v>207</x:v>
      </x:c>
      <x:c r="T223" s="16" t="n">
        <x:f>IF(S223&lt;='Wyniki'!$B$6,1,0)</x:f>
        <x:v>0</x:v>
      </x:c>
    </x:row>
    <x:row r="224" ht="22" customHeight="1">
      <x:c r="A224" s="18" t="n">
        <x:v>217</x:v>
      </x:c>
      <x:c r="B224" s="17" t="n">
        <x:v>-0.07209765787824964</x:v>
      </x:c>
      <x:c r="C224" s="17" t="n">
        <x:v>-1.0069982042161418</x:v>
      </x:c>
      <x:c r="D224" s="18" t="n">
        <x:v>0</x:v>
      </x:c>
      <x:c r="E224" s="17" t="n">
        <x:v>0.3090362490315172</x:v>
      </x:c>
      <x:c r="F224" s="18" t="n">
        <x:v>10</x:v>
      </x:c>
      <x:c r="G224" s="17" t="n">
        <x:v>0.2918012277662506</x:v>
      </x:c>
      <x:c r="H224" s="11" t="n">
        <x:f>1/G224</x:f>
        <x:v>3.4269903785362303</x:v>
      </x:c>
      <x:c r="I224" s="17" t="n">
        <x:v>4.239331878264537</x:v>
      </x:c>
      <x:c r="J224" s="11" t="n">
        <x:f>I224/H224</x:f>
        <x:v>1.237042246986197</x:v>
      </x:c>
      <x:c r="K224" s="16" t="n">
        <x:f>COUNTIFS($J$8:$J$437,"&gt;"&amp;J224)+COUNTIFS($J$8:J224,J224)</x:f>
        <x:v>56</x:v>
      </x:c>
      <x:c r="L224" s="16" t="n">
        <x:f>IF(K224&lt;='Wyniki'!$B$6,1,0)</x:f>
        <x:v>0</x:v>
      </x:c>
      <x:c r="M224" s="17" t="n">
        <x:v>0.5372961710721749</x:v>
      </x:c>
      <x:c r="N224" s="18" t="n">
        <x:v>40</x:v>
      </x:c>
      <x:c r="O224" s="17" t="n">
        <x:v>0.47511919704566574</x:v>
      </x:c>
      <x:c r="P224" s="11" t="n">
        <x:f>1/O224</x:f>
        <x:v>2.1047349932776673</x:v>
      </x:c>
      <x:c r="Q224" s="17" t="n">
        <x:v>2.5502558798319894</x:v>
      </x:c>
      <x:c r="R224" s="11" t="n">
        <x:f>Q224/P224</x:f>
        <x:v>1.2116755258867626</x:v>
      </x:c>
      <x:c r="S224" s="16" t="n">
        <x:f>COUNTIFS($R$8:$R$437,"&gt;"&amp;R224)+COUNTIFS($R$8:R224,R224)</x:f>
        <x:v>109</x:v>
      </x:c>
      <x:c r="T224" s="16" t="n">
        <x:f>IF(S224&lt;='Wyniki'!$B$6,1,0)</x:f>
        <x:v>0</x:v>
      </x:c>
    </x:row>
    <x:row r="225" ht="22" customHeight="1">
      <x:c r="A225" s="18" t="n">
        <x:v>218</x:v>
      </x:c>
      <x:c r="B225" s="17" t="n">
        <x:v>0.5105633453626665</x:v>
      </x:c>
      <x:c r="C225" s="17" t="n">
        <x:v>-0.3327503920448021</x:v>
      </x:c>
      <x:c r="D225" s="18" t="n">
        <x:v>0</x:v>
      </x:c>
      <x:c r="E225" s="17" t="n">
        <x:v>0.1948229478457687</x:v>
      </x:c>
      <x:c r="F225" s="18" t="n">
        <x:v>10</x:v>
      </x:c>
      <x:c r="G225" s="17" t="n">
        <x:v>0.19050292493483093</x:v>
      </x:c>
      <x:c r="H225" s="11" t="n">
        <x:f>1/G225</x:f>
        <x:v>5.249263234893058</x:v>
      </x:c>
      <x:c r="I225" s="17" t="n">
        <x:v>5.74295482955724</x:v>
      </x:c>
      <x:c r="J225" s="11" t="n">
        <x:f>I225/H225</x:f>
        <x:v>1.0940496927992676</x:v>
      </x:c>
      <x:c r="K225" s="16" t="n">
        <x:f>COUNTIFS($J$8:$J$437,"&gt;"&amp;J225)+COUNTIFS($J$8:J225,J225)</x:f>
        <x:v>123</x:v>
      </x:c>
      <x:c r="L225" s="16" t="n">
        <x:f>IF(K225&lt;='Wyniki'!$B$6,1,0)</x:f>
        <x:v>0</x:v>
      </x:c>
      <x:c r="M225" s="17" t="n">
        <x:v>0.3605020549525328</x:v>
      </x:c>
      <x:c r="N225" s="18" t="n">
        <x:v>40</x:v>
      </x:c>
      <x:c r="O225" s="17" t="n">
        <x:v>0.3542070080696331</x:v>
      </x:c>
      <x:c r="P225" s="11" t="n">
        <x:f>1/O225</x:f>
        <x:v>2.8232078338873836</x:v>
      </x:c>
      <x:c r="Q225" s="17" t="n">
        <x:v>2.995623061778883</x:v>
      </x:c>
      <x:c r="R225" s="11" t="n">
        <x:f>Q225/P225</x:f>
        <x:v>1.0610706820170919</x:v>
      </x:c>
      <x:c r="S225" s="16" t="n">
        <x:f>COUNTIFS($R$8:$R$437,"&gt;"&amp;R225)+COUNTIFS($R$8:R225,R225)</x:f>
        <x:v>185</x:v>
      </x:c>
      <x:c r="T225" s="16" t="n">
        <x:f>IF(S225&lt;='Wyniki'!$B$6,1,0)</x:f>
        <x:v>0</x:v>
      </x:c>
    </x:row>
    <x:row r="226" ht="22" customHeight="1">
      <x:c r="A226" s="18" t="n">
        <x:v>219</x:v>
      </x:c>
      <x:c r="B226" s="17" t="n">
        <x:v>-0.29364513110545504</x:v>
      </x:c>
      <x:c r="C226" s="17" t="n">
        <x:v>-0.5883638262093295</x:v>
      </x:c>
      <x:c r="D226" s="18" t="n">
        <x:v>0</x:v>
      </x:c>
      <x:c r="E226" s="17" t="n">
        <x:v>0.13207321536794858</x:v>
      </x:c>
      <x:c r="F226" s="18" t="n">
        <x:v>10</x:v>
      </x:c>
      <x:c r="G226" s="17" t="n">
        <x:v>0.15089591557278173</x:v>
      </x:c>
      <x:c r="H226" s="11" t="n">
        <x:f>1/G226</x:f>
        <x:v>6.6270846112973105</x:v>
      </x:c>
      <x:c r="I226" s="17" t="n">
        <x:v>6.380067384796401</x:v>
      </x:c>
      <x:c r="J226" s="11" t="n">
        <x:f>I226/H226</x:f>
        <x:v>0.9627261094448961</x:v>
      </x:c>
      <x:c r="K226" s="16" t="n">
        <x:f>COUNTIFS($J$8:$J$437,"&gt;"&amp;J226)+COUNTIFS($J$8:J226,J226)</x:f>
        <x:v>410</x:v>
      </x:c>
      <x:c r="L226" s="16" t="n">
        <x:f>IF(K226&lt;='Wyniki'!$B$6,1,0)</x:f>
        <x:v>0</x:v>
      </x:c>
      <x:c r="M226" s="17" t="n">
        <x:v>0.33456568549325316</x:v>
      </x:c>
      <x:c r="N226" s="18" t="n">
        <x:v>40</x:v>
      </x:c>
      <x:c r="O226" s="17" t="n">
        <x:v>0.3522527703938219</x:v>
      </x:c>
      <x:c r="P226" s="11" t="n">
        <x:f>1/O226</x:f>
        <x:v>2.838870504501613</x:v>
      </x:c>
      <x:c r="Q226" s="17" t="n">
        <x:v>2.8527043047857115</x:v>
      </x:c>
      <x:c r="R226" s="11" t="n">
        <x:f>Q226/P226</x:f>
        <x:v>1.0048729944751484</x:v>
      </x:c>
      <x:c r="S226" s="16" t="n">
        <x:f>COUNTIFS($R$8:$R$437,"&gt;"&amp;R226)+COUNTIFS($R$8:R226,R226)</x:f>
        <x:v>290</x:v>
      </x:c>
      <x:c r="T226" s="16" t="n">
        <x:f>IF(S226&lt;='Wyniki'!$B$6,1,0)</x:f>
        <x:v>0</x:v>
      </x:c>
    </x:row>
    <x:row r="227" ht="22" customHeight="1">
      <x:c r="A227" s="18" t="n">
        <x:v>220</x:v>
      </x:c>
      <x:c r="B227" s="17" t="n">
        <x:v>-0.35985580217815555</x:v>
      </x:c>
      <x:c r="C227" s="17" t="n">
        <x:v>0.23533974238220448</x:v>
      </x:c>
      <x:c r="D227" s="18" t="n">
        <x:v>0</x:v>
      </x:c>
      <x:c r="E227" s="17" t="n">
        <x:v>0.11394139137096261</x:v>
      </x:c>
      <x:c r="F227" s="18" t="n">
        <x:v>10</x:v>
      </x:c>
      <x:c r="G227" s="17" t="n">
        <x:v>0.13769911927241765</x:v>
      </x:c>
      <x:c r="H227" s="11" t="n">
        <x:f>1/G227</x:f>
        <x:v>7.26221057392274</x:v>
      </x:c>
      <x:c r="I227" s="17" t="n">
        <x:v>7.308616262150609</x:v>
      </x:c>
      <x:c r="J227" s="11" t="n">
        <x:f>I227/H227</x:f>
        <x:v>1.006390022398208</x:v>
      </x:c>
      <x:c r="K227" s="16" t="n">
        <x:f>COUNTIFS($J$8:$J$437,"&gt;"&amp;J227)+COUNTIFS($J$8:J227,J227)</x:f>
        <x:v>281</x:v>
      </x:c>
      <x:c r="L227" s="16" t="n">
        <x:f>IF(K227&lt;='Wyniki'!$B$6,1,0)</x:f>
        <x:v>0</x:v>
      </x:c>
      <x:c r="M227" s="17" t="n">
        <x:v>0.29100176378446835</x:v>
      </x:c>
      <x:c r="N227" s="18" t="n">
        <x:v>40</x:v>
      </x:c>
      <x:c r="O227" s="17" t="n">
        <x:v>0.3021322138812308</x:v>
      </x:c>
      <x:c r="P227" s="11" t="n">
        <x:f>1/O227</x:f>
        <x:v>3.3098092624876587</x:v>
      </x:c>
      <x:c r="Q227" s="17" t="n">
        <x:v>3.344425445137973</x:v>
      </x:c>
      <x:c r="R227" s="11" t="n">
        <x:f>Q227/P227</x:f>
        <x:v>1.0104586639002564</x:v>
      </x:c>
      <x:c r="S227" s="16" t="n">
        <x:f>COUNTIFS($R$8:$R$437,"&gt;"&amp;R227)+COUNTIFS($R$8:R227,R227)</x:f>
        <x:v>266</x:v>
      </x:c>
      <x:c r="T227" s="16" t="n">
        <x:f>IF(S227&lt;='Wyniki'!$B$6,1,0)</x:f>
        <x:v>0</x:v>
      </x:c>
    </x:row>
    <x:row r="228" ht="22" customHeight="1">
      <x:c r="A228" s="18" t="n">
        <x:v>221</x:v>
      </x:c>
      <x:c r="B228" s="17" t="n">
        <x:v>-0.10408438751502304</x:v>
      </x:c>
      <x:c r="C228" s="17" t="n">
        <x:v>0.1807641012553646</x:v>
      </x:c>
      <x:c r="D228" s="18" t="n">
        <x:v>0</x:v>
      </x:c>
      <x:c r="E228" s="17" t="n">
        <x:v>0.08915161819429542</x:v>
      </x:c>
      <x:c r="F228" s="18" t="n">
        <x:v>10</x:v>
      </x:c>
      <x:c r="G228" s="17" t="n">
        <x:v>0.1054046000668157</x:v>
      </x:c>
      <x:c r="H228" s="11" t="n">
        <x:f>1/G228</x:f>
        <x:v>9.48725197350118</x:v>
      </x:c>
      <x:c r="I228" s="17" t="n">
        <x:v>9.409089548488064</x:v>
      </x:c>
      <x:c r="J228" s="11" t="n">
        <x:f>I228/H228</x:f>
        <x:v>0.9917613208512399</x:v>
      </x:c>
      <x:c r="K228" s="16" t="n">
        <x:f>COUNTIFS($J$8:$J$437,"&gt;"&amp;J228)+COUNTIFS($J$8:J228,J228)</x:f>
        <x:v>343</x:v>
      </x:c>
      <x:c r="L228" s="16" t="n">
        <x:f>IF(K228&lt;='Wyniki'!$B$6,1,0)</x:f>
        <x:v>0</x:v>
      </x:c>
      <x:c r="M228" s="17" t="n">
        <x:v>0.26152918988744966</x:v>
      </x:c>
      <x:c r="N228" s="18" t="n">
        <x:v>40</x:v>
      </x:c>
      <x:c r="O228" s="17" t="n">
        <x:v>0.2631049967411953</x:v>
      </x:c>
      <x:c r="P228" s="11" t="n">
        <x:f>1/O228</x:f>
        <x:v>3.8007640006307275</x:v>
      </x:c>
      <x:c r="Q228" s="17" t="n">
        <x:v>3.713552384111375</x:v>
      </x:c>
      <x:c r="R228" s="11" t="n">
        <x:f>Q228/P228</x:f>
        <x:v>0.9770541879198814</x:v>
      </x:c>
      <x:c r="S228" s="16" t="n">
        <x:f>COUNTIFS($R$8:$R$437,"&gt;"&amp;R228)+COUNTIFS($R$8:R228,R228)</x:f>
        <x:v>402</x:v>
      </x:c>
      <x:c r="T228" s="16" t="n">
        <x:f>IF(S228&lt;='Wyniki'!$B$6,1,0)</x:f>
        <x:v>0</x:v>
      </x:c>
    </x:row>
    <x:row r="229" ht="22" customHeight="1">
      <x:c r="A229" s="18" t="n">
        <x:v>222</x:v>
      </x:c>
      <x:c r="B229" s="17" t="n">
        <x:v>0.19905701966086403</x:v>
      </x:c>
      <x:c r="C229" s="17" t="n">
        <x:v>0.7263639105404919</x:v>
      </x:c>
      <x:c r="D229" s="18" t="n">
        <x:v>0</x:v>
      </x:c>
      <x:c r="E229" s="17" t="n">
        <x:v>0.17423749568677896</x:v>
      </x:c>
      <x:c r="F229" s="18" t="n">
        <x:v>10</x:v>
      </x:c>
      <x:c r="G229" s="17" t="n">
        <x:v>0.1646721884743594</x:v>
      </x:c>
      <x:c r="H229" s="11" t="n">
        <x:f>1/G229</x:f>
        <x:v>6.0726708575668615</x:v>
      </x:c>
      <x:c r="I229" s="17" t="n">
        <x:v>5.9277683324617705</x:v>
      </x:c>
      <x:c r="J229" s="11" t="n">
        <x:f>I229/H229</x:f>
        <x:v>0.9761385840754838</x:v>
      </x:c>
      <x:c r="K229" s="16" t="n">
        <x:f>COUNTIFS($J$8:$J$437,"&gt;"&amp;J229)+COUNTIFS($J$8:J229,J229)</x:f>
        <x:v>392</x:v>
      </x:c>
      <x:c r="L229" s="16" t="n">
        <x:f>IF(K229&lt;='Wyniki'!$B$6,1,0)</x:f>
        <x:v>0</x:v>
      </x:c>
      <x:c r="M229" s="17" t="n">
        <x:v>0.39457459855001753</x:v>
      </x:c>
      <x:c r="N229" s="18" t="n">
        <x:v>40</x:v>
      </x:c>
      <x:c r="O229" s="17" t="n">
        <x:v>0.4008642813239165</x:v>
      </x:c>
      <x:c r="P229" s="11" t="n">
        <x:f>1/O229</x:f>
        <x:v>2.494609888158019</x:v>
      </x:c>
      <x:c r="Q229" s="17" t="n">
        <x:v>2.689998298804194</x:v>
      </x:c>
      <x:c r="R229" s="11" t="n">
        <x:f>Q229/P229</x:f>
        <x:v>1.0783242348127011</x:v>
      </x:c>
      <x:c r="S229" s="16" t="n">
        <x:f>COUNTIFS($R$8:$R$437,"&gt;"&amp;R229)+COUNTIFS($R$8:R229,R229)</x:f>
        <x:v>168</x:v>
      </x:c>
      <x:c r="T229" s="16" t="n">
        <x:f>IF(S229&lt;='Wyniki'!$B$6,1,0)</x:f>
        <x:v>0</x:v>
      </x:c>
    </x:row>
    <x:row r="230" ht="22" customHeight="1">
      <x:c r="A230" s="18" t="n">
        <x:v>223</x:v>
      </x:c>
      <x:c r="B230" s="17" t="n">
        <x:v>-0.18853238297540864</x:v>
      </x:c>
      <x:c r="C230" s="17" t="n">
        <x:v>-0.8122717992651526</x:v>
      </x:c>
      <x:c r="D230" s="18" t="n">
        <x:v>0</x:v>
      </x:c>
      <x:c r="E230" s="17" t="n">
        <x:v>0.21686825914291835</x:v>
      </x:c>
      <x:c r="F230" s="18" t="n">
        <x:v>10</x:v>
      </x:c>
      <x:c r="G230" s="17" t="n">
        <x:v>0.19316584334100242</x:v>
      </x:c>
      <x:c r="H230" s="11" t="n">
        <x:f>1/G230</x:f>
        <x:v>5.176898683038207</x:v>
      </x:c>
      <x:c r="I230" s="17" t="n">
        <x:v>5.6265244820817175</x:v>
      </x:c>
      <x:c r="J230" s="11" t="n">
        <x:f>I230/H230</x:f>
        <x:v>1.0868523466601119</x:v>
      </x:c>
      <x:c r="K230" s="16" t="n">
        <x:f>COUNTIFS($J$8:$J$437,"&gt;"&amp;J230)+COUNTIFS($J$8:J230,J230)</x:f>
        <x:v>133</x:v>
      </x:c>
      <x:c r="L230" s="16" t="n">
        <x:f>IF(K230&lt;='Wyniki'!$B$6,1,0)</x:f>
        <x:v>0</x:v>
      </x:c>
      <x:c r="M230" s="17" t="n">
        <x:v>0.41208761430955926</x:v>
      </x:c>
      <x:c r="N230" s="18" t="n">
        <x:v>40</x:v>
      </x:c>
      <x:c r="O230" s="17" t="n">
        <x:v>0.3964711377660821</x:v>
      </x:c>
      <x:c r="P230" s="11" t="n">
        <x:f>1/O230</x:f>
        <x:v>2.5222516968940116</x:v>
      </x:c>
      <x:c r="Q230" s="17" t="n">
        <x:v>2.685076769332554</x:v>
      </x:c>
      <x:c r="R230" s="11" t="n">
        <x:f>Q230/P230</x:f>
        <x:v>1.0645554417265537</x:v>
      </x:c>
      <x:c r="S230" s="16" t="n">
        <x:f>COUNTIFS($R$8:$R$437,"&gt;"&amp;R230)+COUNTIFS($R$8:R230,R230)</x:f>
        <x:v>180</x:v>
      </x:c>
      <x:c r="T230" s="16" t="n">
        <x:f>IF(S230&lt;='Wyniki'!$B$6,1,0)</x:f>
        <x:v>0</x:v>
      </x:c>
    </x:row>
    <x:row r="231" ht="22" customHeight="1">
      <x:c r="A231" s="18" t="n">
        <x:v>224</x:v>
      </x:c>
      <x:c r="B231" s="17" t="n">
        <x:v>0.5869723291145907</x:v>
      </x:c>
      <x:c r="C231" s="17" t="n">
        <x:v>-0.1823184946534901</x:v>
      </x:c>
      <x:c r="D231" s="18" t="n">
        <x:v>0</x:v>
      </x:c>
      <x:c r="E231" s="17" t="n">
        <x:v>0.16872489013406428</x:v>
      </x:c>
      <x:c r="F231" s="18" t="n">
        <x:v>10</x:v>
      </x:c>
      <x:c r="G231" s="17" t="n">
        <x:v>0.17607049807667777</x:v>
      </x:c>
      <x:c r="H231" s="11" t="n">
        <x:f>1/G231</x:f>
        <x:v>5.679543199591026</x:v>
      </x:c>
      <x:c r="I231" s="17" t="n">
        <x:v>5.813240646418274</x:v>
      </x:c>
      <x:c r="J231" s="11" t="n">
        <x:f>I231/H231</x:f>
        <x:v>1.0235401760544536</x:v>
      </x:c>
      <x:c r="K231" s="16" t="n">
        <x:f>COUNTIFS($J$8:$J$437,"&gt;"&amp;J231)+COUNTIFS($J$8:J231,J231)</x:f>
        <x:v>234</x:v>
      </x:c>
      <x:c r="L231" s="16" t="n">
        <x:f>IF(K231&lt;='Wyniki'!$B$6,1,0)</x:f>
        <x:v>0</x:v>
      </x:c>
      <x:c r="M231" s="17" t="n">
        <x:v>0.35160783713293464</x:v>
      </x:c>
      <x:c r="N231" s="18" t="n">
        <x:v>40</x:v>
      </x:c>
      <x:c r="O231" s="17" t="n">
        <x:v>0.35125577192838264</x:v>
      </x:c>
      <x:c r="P231" s="11" t="n">
        <x:f>1/O231</x:f>
        <x:v>2.846928306715169</x:v>
      </x:c>
      <x:c r="Q231" s="17" t="n">
        <x:v>3.0492637462745797</x:v>
      </x:c>
      <x:c r="R231" s="11" t="n">
        <x:f>Q231/P231</x:f>
        <x:v>1.0710714910109094</x:v>
      </x:c>
      <x:c r="S231" s="16" t="n">
        <x:f>COUNTIFS($R$8:$R$437,"&gt;"&amp;R231)+COUNTIFS($R$8:R231,R231)</x:f>
        <x:v>172</x:v>
      </x:c>
      <x:c r="T231" s="16" t="n">
        <x:f>IF(S231&lt;='Wyniki'!$B$6,1,0)</x:f>
        <x:v>0</x:v>
      </x:c>
    </x:row>
    <x:row r="232" ht="22" customHeight="1">
      <x:c r="A232" s="18" t="n">
        <x:v>225</x:v>
      </x:c>
      <x:c r="B232" s="17" t="n">
        <x:v>0.6130258445175574</x:v>
      </x:c>
      <x:c r="C232" s="17" t="n">
        <x:v>0.21085741225035876</x:v>
      </x:c>
      <x:c r="D232" s="18" t="n">
        <x:v>0</x:v>
      </x:c>
      <x:c r="E232" s="17" t="n">
        <x:v>0.15440441758636259</x:v>
      </x:c>
      <x:c r="F232" s="18" t="n">
        <x:v>10</x:v>
      </x:c>
      <x:c r="G232" s="17" t="n">
        <x:v>0.1554526916354936</x:v>
      </x:c>
      <x:c r="H232" s="11" t="n">
        <x:f>1/G232</x:f>
        <x:v>6.432825250429281</x:v>
      </x:c>
      <x:c r="I232" s="17" t="n">
        <x:v>6.822754539049768</x:v>
      </x:c>
      <x:c r="J232" s="11" t="n">
        <x:f>I232/H232</x:f>
        <x:v>1.060615557463568</x:v>
      </x:c>
      <x:c r="K232" s="16" t="n">
        <x:f>COUNTIFS($J$8:$J$437,"&gt;"&amp;J232)+COUNTIFS($J$8:J232,J232)</x:f>
        <x:v>160</x:v>
      </x:c>
      <x:c r="L232" s="16" t="n">
        <x:f>IF(K232&lt;='Wyniki'!$B$6,1,0)</x:f>
        <x:v>0</x:v>
      </x:c>
      <x:c r="M232" s="17" t="n">
        <x:v>0.31310545015520547</x:v>
      </x:c>
      <x:c r="N232" s="18" t="n">
        <x:v>40</x:v>
      </x:c>
      <x:c r="O232" s="17" t="n">
        <x:v>0.3148151129190564</x:v>
      </x:c>
      <x:c r="P232" s="11" t="n">
        <x:f>1/O232</x:f>
        <x:v>3.1764675803766598</x:v>
      </x:c>
      <x:c r="Q232" s="17" t="n">
        <x:v>3.227635678124014</x:v>
      </x:c>
      <x:c r="R232" s="11" t="n">
        <x:f>Q232/P232</x:f>
        <x:v>1.0161084904701867</x:v>
      </x:c>
      <x:c r="S232" s="16" t="n">
        <x:f>COUNTIFS($R$8:$R$437,"&gt;"&amp;R232)+COUNTIFS($R$8:R232,R232)</x:f>
        <x:v>249</x:v>
      </x:c>
      <x:c r="T232" s="16" t="n">
        <x:f>IF(S232&lt;='Wyniki'!$B$6,1,0)</x:f>
        <x:v>0</x:v>
      </x:c>
    </x:row>
    <x:row r="233" ht="22" customHeight="1">
      <x:c r="A233" s="18" t="n">
        <x:v>226</x:v>
      </x:c>
      <x:c r="B233" s="17" t="n">
        <x:v>-0.07212564161183972</x:v>
      </x:c>
      <x:c r="C233" s="17" t="n">
        <x:v>0.19182674172546232</x:v>
      </x:c>
      <x:c r="D233" s="18" t="n">
        <x:v>0</x:v>
      </x:c>
      <x:c r="E233" s="17" t="n">
        <x:v>0.11116245130071277</x:v>
      </x:c>
      <x:c r="F233" s="18" t="n">
        <x:v>10</x:v>
      </x:c>
      <x:c r="G233" s="17" t="n">
        <x:v>0.10374762341751535</x:v>
      </x:c>
      <x:c r="H233" s="11" t="n">
        <x:f>1/G233</x:f>
        <x:v>9.638775010543263</x:v>
      </x:c>
      <x:c r="I233" s="17" t="n">
        <x:v>9.33811043731129</x:v>
      </x:c>
      <x:c r="J233" s="11" t="n">
        <x:f>I233/H233</x:f>
        <x:v>0.9688067650813412</x:v>
      </x:c>
      <x:c r="K233" s="16" t="n">
        <x:f>COUNTIFS($J$8:$J$437,"&gt;"&amp;J233)+COUNTIFS($J$8:J233,J233)</x:f>
        <x:v>406</x:v>
      </x:c>
      <x:c r="L233" s="16" t="n">
        <x:f>IF(K233&lt;='Wyniki'!$B$6,1,0)</x:f>
        <x:v>0</x:v>
      </x:c>
      <x:c r="M233" s="17" t="n">
        <x:v>0.26404279945974307</x:v>
      </x:c>
      <x:c r="N233" s="18" t="n">
        <x:v>40</x:v>
      </x:c>
      <x:c r="O233" s="17" t="n">
        <x:v>0.2621319299987366</x:v>
      </x:c>
      <x:c r="P233" s="11" t="n">
        <x:f>1/O233</x:f>
        <x:v>3.8148729153477023</x:v>
      </x:c>
      <x:c r="Q233" s="17" t="n">
        <x:v>3.7271956237671082</x:v>
      </x:c>
      <x:c r="R233" s="11" t="n">
        <x:f>Q233/P233</x:f>
        <x:v>0.9770169823409169</x:v>
      </x:c>
      <x:c r="S233" s="16" t="n">
        <x:f>COUNTIFS($R$8:$R$437,"&gt;"&amp;R233)+COUNTIFS($R$8:R233,R233)</x:f>
        <x:v>403</x:v>
      </x:c>
      <x:c r="T233" s="16" t="n">
        <x:f>IF(S233&lt;='Wyniki'!$B$6,1,0)</x:f>
        <x:v>0</x:v>
      </x:c>
    </x:row>
    <x:row r="234" ht="22" customHeight="1">
      <x:c r="A234" s="18" t="n">
        <x:v>227</x:v>
      </x:c>
      <x:c r="B234" s="17" t="n">
        <x:v>1.0730569080694647</x:v>
      </x:c>
      <x:c r="C234" s="17" t="n">
        <x:v>1.1423392909795642</x:v>
      </x:c>
      <x:c r="D234" s="18" t="n">
        <x:v>0</x:v>
      </x:c>
      <x:c r="E234" s="17" t="n">
        <x:v>0.6607961083595986</x:v>
      </x:c>
      <x:c r="F234" s="18" t="n">
        <x:v>10</x:v>
      </x:c>
      <x:c r="G234" s="17" t="n">
        <x:v>0.662412715546228</x:v>
      </x:c>
      <x:c r="H234" s="11" t="n">
        <x:f>1/G234</x:f>
        <x:v>1.5096328565725012</x:v>
      </x:c>
      <x:c r="I234" s="17" t="n">
        <x:v>2.6059775674496186</x:v>
      </x:c>
      <x:c r="J234" s="11" t="n">
        <x:f>I234/H234</x:f>
        <x:v>1.7262326771068557</x:v>
      </x:c>
      <x:c r="K234" s="16" t="n">
        <x:f>COUNTIFS($J$8:$J$437,"&gt;"&amp;J234)+COUNTIFS($J$8:J234,J234)</x:f>
        <x:v>10</x:v>
      </x:c>
      <x:c r="L234" s="16" t="n">
        <x:f>IF(K234&lt;='Wyniki'!$B$6,1,0)</x:f>
        <x:v>1</x:v>
      </x:c>
      <x:c r="M234" s="17" t="n">
        <x:v>0.9777307965318318</x:v>
      </x:c>
      <x:c r="N234" s="18" t="n">
        <x:v>40</x:v>
      </x:c>
      <x:c r="O234" s="17" t="n">
        <x:v>0.8507538181528952</x:v>
      </x:c>
      <x:c r="P234" s="11" t="n">
        <x:f>1/O234</x:f>
        <x:v>1.1754281657778969</x:v>
      </x:c>
      <x:c r="Q234" s="17" t="n">
        <x:v>2.2117451028513946</x:v>
      </x:c>
      <x:c r="R234" s="11" t="n">
        <x:f>Q234/P234</x:f>
        <x:v>1.8816505910317918</x:v>
      </x:c>
      <x:c r="S234" s="16" t="n">
        <x:f>COUNTIFS($R$8:$R$437,"&gt;"&amp;R234)+COUNTIFS($R$8:R234,R234)</x:f>
        <x:v>36</x:v>
      </x:c>
      <x:c r="T234" s="16" t="n">
        <x:f>IF(S234&lt;='Wyniki'!$B$6,1,0)</x:f>
        <x:v>0</x:v>
      </x:c>
    </x:row>
    <x:row r="235" ht="22" customHeight="1">
      <x:c r="A235" s="18" t="n">
        <x:v>228</x:v>
      </x:c>
      <x:c r="B235" s="17" t="n">
        <x:v>0.03815962432302829</x:v>
      </x:c>
      <x:c r="C235" s="17" t="n">
        <x:v>0.08810482632439143</x:v>
      </x:c>
      <x:c r="D235" s="18" t="n">
        <x:v>0</x:v>
      </x:c>
      <x:c r="E235" s="17" t="n">
        <x:v>0.12220762844493228</x:v>
      </x:c>
      <x:c r="F235" s="18" t="n">
        <x:v>10</x:v>
      </x:c>
      <x:c r="G235" s="17" t="n">
        <x:v>0.12283674090272498</x:v>
      </x:c>
      <x:c r="H235" s="11" t="n">
        <x:f>1/G235</x:f>
        <x:v>8.140886779077809</x:v>
      </x:c>
      <x:c r="I235" s="17" t="n">
        <x:v>8.108397851153878</x:v>
      </x:c>
      <x:c r="J235" s="11" t="n">
        <x:f>I235/H235</x:f>
        <x:v>0.9960091659784008</x:v>
      </x:c>
      <x:c r="K235" s="16" t="n">
        <x:f>COUNTIFS($J$8:$J$437,"&gt;"&amp;J235)+COUNTIFS($J$8:J235,J235)</x:f>
        <x:v>328</x:v>
      </x:c>
      <x:c r="L235" s="16" t="n">
        <x:f>IF(K235&lt;='Wyniki'!$B$6,1,0)</x:f>
        <x:v>0</x:v>
      </x:c>
      <x:c r="M235" s="17" t="n">
        <x:v>0.2537022755792134</x:v>
      </x:c>
      <x:c r="N235" s="18" t="n">
        <x:v>40</x:v>
      </x:c>
      <x:c r="O235" s="17" t="n">
        <x:v>0.25364424297540955</x:v>
      </x:c>
      <x:c r="P235" s="11" t="n">
        <x:f>1/O235</x:f>
        <x:v>3.942529853109848</x:v>
      </x:c>
      <x:c r="Q235" s="17" t="n">
        <x:v>3.8238224827519547</x:v>
      </x:c>
      <x:c r="R235" s="11" t="n">
        <x:f>Q235/P235</x:f>
        <x:v>0.9698905589099706</x:v>
      </x:c>
      <x:c r="S235" s="16" t="n">
        <x:f>COUNTIFS($R$8:$R$437,"&gt;"&amp;R235)+COUNTIFS($R$8:R235,R235)</x:f>
        <x:v>426</x:v>
      </x:c>
      <x:c r="T235" s="16" t="n">
        <x:f>IF(S235&lt;='Wyniki'!$B$6,1,0)</x:f>
        <x:v>0</x:v>
      </x:c>
    </x:row>
    <x:row r="236" ht="22" customHeight="1">
      <x:c r="A236" s="18" t="n">
        <x:v>229</x:v>
      </x:c>
      <x:c r="B236" s="17" t="n">
        <x:v>0.5919320866065121</x:v>
      </x:c>
      <x:c r="C236" s="17" t="n">
        <x:v>-0.46511356802204096</x:v>
      </x:c>
      <x:c r="D236" s="18" t="n">
        <x:v>0</x:v>
      </x:c>
      <x:c r="E236" s="17" t="n">
        <x:v>0.24045361939569837</x:v>
      </x:c>
      <x:c r="F236" s="18" t="n">
        <x:v>10</x:v>
      </x:c>
      <x:c r="G236" s="17" t="n">
        <x:v>0.245682106713851</x:v>
      </x:c>
      <x:c r="H236" s="11" t="n">
        <x:f>1/G236</x:f>
        <x:v>4.070300492679805</x:v>
      </x:c>
      <x:c r="I236" s="17" t="n">
        <x:v>4.266021596484462</x:v>
      </x:c>
      <x:c r="J236" s="11" t="n">
        <x:f>I236/H236</x:f>
        <x:v>1.0480851731110885</x:v>
      </x:c>
      <x:c r="K236" s="16" t="n">
        <x:f>COUNTIFS($J$8:$J$437,"&gt;"&amp;J236)+COUNTIFS($J$8:J236,J236)</x:f>
        <x:v>184</x:v>
      </x:c>
      <x:c r="L236" s="16" t="n">
        <x:f>IF(K236&lt;='Wyniki'!$B$6,1,0)</x:f>
        <x:v>0</x:v>
      </x:c>
      <x:c r="M236" s="17" t="n">
        <x:v>0.4372150296944474</x:v>
      </x:c>
      <x:c r="N236" s="18" t="n">
        <x:v>40</x:v>
      </x:c>
      <x:c r="O236" s="17" t="n">
        <x:v>0.41479885212689027</x:v>
      </x:c>
      <x:c r="P236" s="11" t="n">
        <x:f>1/O236</x:f>
        <x:v>2.4108070571374003</x:v>
      </x:c>
      <x:c r="Q236" s="17" t="n">
        <x:v>2.7909802222991376</x:v>
      </x:c>
      <x:c r="R236" s="11" t="n">
        <x:f>Q236/P236</x:f>
        <x:v>1.1576953925185354</x:v>
      </x:c>
      <x:c r="S236" s="16" t="n">
        <x:f>COUNTIFS($R$8:$R$437,"&gt;"&amp;R236)+COUNTIFS($R$8:R236,R236)</x:f>
        <x:v>128</x:v>
      </x:c>
      <x:c r="T236" s="16" t="n">
        <x:f>IF(S236&lt;='Wyniki'!$B$6,1,0)</x:f>
        <x:v>0</x:v>
      </x:c>
    </x:row>
    <x:row r="237" ht="22" customHeight="1">
      <x:c r="A237" s="18" t="n">
        <x:v>230</x:v>
      </x:c>
      <x:c r="B237" s="17" t="n">
        <x:v>0.18318870494004033</x:v>
      </x:c>
      <x:c r="C237" s="17" t="n">
        <x:v>-0.014224566374621023</x:v>
      </x:c>
      <x:c r="D237" s="18" t="n">
        <x:v>0</x:v>
      </x:c>
      <x:c r="E237" s="17" t="n">
        <x:v>0.1546132865240557</x:v>
      </x:c>
      <x:c r="F237" s="18" t="n">
        <x:v>10</x:v>
      </x:c>
      <x:c r="G237" s="17" t="n">
        <x:v>0.13653404686606135</x:v>
      </x:c>
      <x:c r="H237" s="11" t="n">
        <x:f>1/G237</x:f>
        <x:v>7.324180473321726</x:v>
      </x:c>
      <x:c r="I237" s="17" t="n">
        <x:v>7.624145286650941</x:v>
      </x:c>
      <x:c r="J237" s="11" t="n">
        <x:f>I237/H237</x:f>
        <x:v>1.0409554098812603</x:v>
      </x:c>
      <x:c r="K237" s="16" t="n">
        <x:f>COUNTIFS($J$8:$J$437,"&gt;"&amp;J237)+COUNTIFS($J$8:J237,J237)</x:f>
        <x:v>195</x:v>
      </x:c>
      <x:c r="L237" s="16" t="n">
        <x:f>IF(K237&lt;='Wyniki'!$B$6,1,0)</x:f>
        <x:v>0</x:v>
      </x:c>
      <x:c r="M237" s="17" t="n">
        <x:v>0.2549688787765623</x:v>
      </x:c>
      <x:c r="N237" s="18" t="n">
        <x:v>40</x:v>
      </x:c>
      <x:c r="O237" s="17" t="n">
        <x:v>0.2607992624084384</x:v>
      </x:c>
      <x:c r="P237" s="11" t="n">
        <x:f>1/O237</x:f>
        <x:v>3.834366672532598</x:v>
      </x:c>
      <x:c r="Q237" s="17" t="n">
        <x:v>3.753294725485992</x:v>
      </x:c>
      <x:c r="R237" s="11" t="n">
        <x:f>Q237/P237</x:f>
        <x:v>0.9788564960082291</x:v>
      </x:c>
      <x:c r="S237" s="16" t="n">
        <x:f>COUNTIFS($R$8:$R$437,"&gt;"&amp;R237)+COUNTIFS($R$8:R237,R237)</x:f>
        <x:v>393</x:v>
      </x:c>
      <x:c r="T237" s="16" t="n">
        <x:f>IF(S237&lt;='Wyniki'!$B$6,1,0)</x:f>
        <x:v>0</x:v>
      </x:c>
    </x:row>
    <x:row r="238" ht="22" customHeight="1">
      <x:c r="A238" s="18" t="n">
        <x:v>231</x:v>
      </x:c>
      <x:c r="B238" s="17" t="n">
        <x:v>0.17264951630165448</x:v>
      </x:c>
      <x:c r="C238" s="17" t="n">
        <x:v>-0.4583528432721732</x:v>
      </x:c>
      <x:c r="D238" s="18" t="n">
        <x:v>0</x:v>
      </x:c>
      <x:c r="E238" s="17" t="n">
        <x:v>0.12274201410850206</x:v>
      </x:c>
      <x:c r="F238" s="18" t="n">
        <x:v>10</x:v>
      </x:c>
      <x:c r="G238" s="17" t="n">
        <x:v>0.15528303961862136</x:v>
      </x:c>
      <x:c r="H238" s="11" t="n">
        <x:f>1/G238</x:f>
        <x:v>6.439853331413543</x:v>
      </x:c>
      <x:c r="I238" s="17" t="n">
        <x:v>6.595974107065705</x:v>
      </x:c>
      <x:c r="J238" s="11" t="n">
        <x:f>I238/H238</x:f>
        <x:v>1.0242429085908844</x:v>
      </x:c>
      <x:c r="K238" s="16" t="n">
        <x:f>COUNTIFS($J$8:$J$437,"&gt;"&amp;J238)+COUNTIFS($J$8:J238,J238)</x:f>
        <x:v>232</x:v>
      </x:c>
      <x:c r="L238" s="16" t="n">
        <x:f>IF(K238&lt;='Wyniki'!$B$6,1,0)</x:f>
        <x:v>0</x:v>
      </x:c>
      <x:c r="M238" s="17" t="n">
        <x:v>0.31933991533583184</x:v>
      </x:c>
      <x:c r="N238" s="18" t="n">
        <x:v>40</x:v>
      </x:c>
      <x:c r="O238" s="17" t="n">
        <x:v>0.31006585385609514</x:v>
      </x:c>
      <x:c r="P238" s="11" t="n">
        <x:f>1/O238</x:f>
        <x:v>3.2251213333026687</x:v>
      </x:c>
      <x:c r="Q238" s="17" t="n">
        <x:v>3.2222150288391602</x:v>
      </x:c>
      <x:c r="R238" s="11" t="n">
        <x:f>Q238/P238</x:f>
        <x:v>0.9990988542249565</x:v>
      </x:c>
      <x:c r="S238" s="16" t="n">
        <x:f>COUNTIFS($R$8:$R$437,"&gt;"&amp;R238)+COUNTIFS($R$8:R238,R238)</x:f>
        <x:v>319</x:v>
      </x:c>
      <x:c r="T238" s="16" t="n">
        <x:f>IF(S238&lt;='Wyniki'!$B$6,1,0)</x:f>
        <x:v>0</x:v>
      </x:c>
    </x:row>
    <x:row r="239" ht="22" customHeight="1">
      <x:c r="A239" s="18" t="n">
        <x:v>232</x:v>
      </x:c>
      <x:c r="B239" s="17" t="n">
        <x:v>-0.874262121319933</x:v>
      </x:c>
      <x:c r="C239" s="17" t="n">
        <x:v>-1.1401408897952106</x:v>
      </x:c>
      <x:c r="D239" s="18" t="n">
        <x:v>0</x:v>
      </x:c>
      <x:c r="E239" s="17" t="n">
        <x:v>0.48129745578013117</x:v>
      </x:c>
      <x:c r="F239" s="18" t="n">
        <x:v>10</x:v>
      </x:c>
      <x:c r="G239" s="17" t="n">
        <x:v>0.4613591506729187</x:v>
      </x:c>
      <x:c r="H239" s="11" t="n">
        <x:f>1/G239</x:f>
        <x:v>2.167508758721796</x:v>
      </x:c>
      <x:c r="I239" s="17" t="n">
        <x:v>2.556498431701248</x:v>
      </x:c>
      <x:c r="J239" s="11" t="n">
        <x:f>I239/H239</x:f>
        <x:v>1.1794639451463365</x:v>
      </x:c>
      <x:c r="K239" s="16" t="n">
        <x:f>COUNTIFS($J$8:$J$437,"&gt;"&amp;J239)+COUNTIFS($J$8:J239,J239)</x:f>
        <x:v>74</x:v>
      </x:c>
      <x:c r="L239" s="16" t="n">
        <x:f>IF(K239&lt;='Wyniki'!$B$6,1,0)</x:f>
        <x:v>0</x:v>
      </x:c>
      <x:c r="M239" s="17" t="n">
        <x:v>0.7788531729823783</x:v>
      </x:c>
      <x:c r="N239" s="18" t="n">
        <x:v>40</x:v>
      </x:c>
      <x:c r="O239" s="17" t="n">
        <x:v>0.6954466715784756</x:v>
      </x:c>
      <x:c r="P239" s="11" t="n">
        <x:f>1/O239</x:f>
        <x:v>1.4379247767916852</x:v>
      </x:c>
      <x:c r="Q239" s="17" t="n">
        <x:v>2.1537813136553394</x:v>
      </x:c>
      <x:c r="R239" s="11" t="n">
        <x:f>Q239/P239</x:f>
        <x:v>1.4978400458895227</x:v>
      </x:c>
      <x:c r="S239" s="16" t="n">
        <x:f>COUNTIFS($R$8:$R$437,"&gt;"&amp;R239)+COUNTIFS($R$8:R239,R239)</x:f>
        <x:v>56</x:v>
      </x:c>
      <x:c r="T239" s="16" t="n">
        <x:f>IF(S239&lt;='Wyniki'!$B$6,1,0)</x:f>
        <x:v>0</x:v>
      </x:c>
    </x:row>
    <x:row r="240" ht="22" customHeight="1">
      <x:c r="A240" s="18" t="n">
        <x:v>233</x:v>
      </x:c>
      <x:c r="B240" s="17" t="n">
        <x:v>-0.6145612621442843</x:v>
      </x:c>
      <x:c r="C240" s="17" t="n">
        <x:v>-0.2522714067166332</x:v>
      </x:c>
      <x:c r="D240" s="18" t="n">
        <x:v>0</x:v>
      </x:c>
      <x:c r="E240" s="17" t="n">
        <x:v>0.16913014423966632</x:v>
      </x:c>
      <x:c r="F240" s="18" t="n">
        <x:v>10</x:v>
      </x:c>
      <x:c r="G240" s="17" t="n">
        <x:v>0.15839790639496548</x:v>
      </x:c>
      <x:c r="H240" s="11" t="n">
        <x:f>1/G240</x:f>
        <x:v>6.31321475617549</x:v>
      </x:c>
      <x:c r="I240" s="17" t="n">
        <x:v>6.6191146439897555</x:v>
      </x:c>
      <x:c r="J240" s="11" t="n">
        <x:f>I240/H240</x:f>
        <x:v>1.0484539017962344</x:v>
      </x:c>
      <x:c r="K240" s="16" t="n">
        <x:f>COUNTIFS($J$8:$J$437,"&gt;"&amp;J240)+COUNTIFS($J$8:J240,J240)</x:f>
        <x:v>182</x:v>
      </x:c>
      <x:c r="L240" s="16" t="n">
        <x:f>IF(K240&lt;='Wyniki'!$B$6,1,0)</x:f>
        <x:v>0</x:v>
      </x:c>
      <x:c r="M240" s="17" t="n">
        <x:v>0.36368913866388736</x:v>
      </x:c>
      <x:c r="N240" s="18" t="n">
        <x:v>40</x:v>
      </x:c>
      <x:c r="O240" s="17" t="n">
        <x:v>0.3665313349854843</x:v>
      </x:c>
      <x:c r="P240" s="11" t="n">
        <x:f>1/O240</x:f>
        <x:v>2.7282796982135316</x:v>
      </x:c>
      <x:c r="Q240" s="17" t="n">
        <x:v>2.7530748612116396</x:v>
      </x:c>
      <x:c r="R240" s="11" t="n">
        <x:f>Q240/P240</x:f>
        <x:v>1.0090882041948792</x:v>
      </x:c>
      <x:c r="S240" s="16" t="n">
        <x:f>COUNTIFS($R$8:$R$437,"&gt;"&amp;R240)+COUNTIFS($R$8:R240,R240)</x:f>
        <x:v>273</x:v>
      </x:c>
      <x:c r="T240" s="16" t="n">
        <x:f>IF(S240&lt;='Wyniki'!$B$6,1,0)</x:f>
        <x:v>0</x:v>
      </x:c>
    </x:row>
    <x:row r="241" ht="22" customHeight="1">
      <x:c r="A241" s="18" t="n">
        <x:v>234</x:v>
      </x:c>
      <x:c r="B241" s="17" t="n">
        <x:v>-0.16125537265681902</x:v>
      </x:c>
      <x:c r="C241" s="17" t="n">
        <x:v>1.0654771393362343</x:v>
      </x:c>
      <x:c r="D241" s="18" t="n">
        <x:v>0</x:v>
      </x:c>
      <x:c r="E241" s="17" t="n">
        <x:v>0.34384539789013857</x:v>
      </x:c>
      <x:c r="F241" s="18" t="n">
        <x:v>10</x:v>
      </x:c>
      <x:c r="G241" s="17" t="n">
        <x:v>0.30596005159700573</x:v>
      </x:c>
      <x:c r="H241" s="11" t="n">
        <x:f>1/G241</x:f>
        <x:v>3.268400547000648</x:v>
      </x:c>
      <x:c r="I241" s="17" t="n">
        <x:v>4.520748443060411</x:v>
      </x:c>
      <x:c r="J241" s="11" t="n">
        <x:f>I241/H241</x:f>
        <x:v>1.3831684268958466</x:v>
      </x:c>
      <x:c r="K241" s="16" t="n">
        <x:f>COUNTIFS($J$8:$J$437,"&gt;"&amp;J241)+COUNTIFS($J$8:J241,J241)</x:f>
        <x:v>30</x:v>
      </x:c>
      <x:c r="L241" s="16" t="n">
        <x:f>IF(K241&lt;='Wyniki'!$B$6,1,0)</x:f>
        <x:v>1</x:v>
      </x:c>
      <x:c r="M241" s="17" t="n">
        <x:v>0.6118425325160551</x:v>
      </x:c>
      <x:c r="N241" s="18" t="n">
        <x:v>40</x:v>
      </x:c>
      <x:c r="O241" s="17" t="n">
        <x:v>0.5312809738642253</x:v>
      </x:c>
      <x:c r="P241" s="11" t="n">
        <x:f>1/O241</x:f>
        <x:v>1.8822431993500315</x:v>
      </x:c>
      <x:c r="Q241" s="17" t="n">
        <x:v>2.2977107602157476</x:v>
      </x:c>
      <x:c r="R241" s="11" t="n">
        <x:f>Q241/P241</x:f>
        <x:v>1.220730010345732</x:v>
      </x:c>
      <x:c r="S241" s="16" t="n">
        <x:f>COUNTIFS($R$8:$R$437,"&gt;"&amp;R241)+COUNTIFS($R$8:R241,R241)</x:f>
        <x:v>104</x:v>
      </x:c>
      <x:c r="T241" s="16" t="n">
        <x:f>IF(S241&lt;='Wyniki'!$B$6,1,0)</x:f>
        <x:v>0</x:v>
      </x:c>
    </x:row>
    <x:row r="242" ht="22" customHeight="1">
      <x:c r="A242" s="18" t="n">
        <x:v>235</x:v>
      </x:c>
      <x:c r="B242" s="17" t="n">
        <x:v>0.608296353449014</x:v>
      </x:c>
      <x:c r="C242" s="17" t="n">
        <x:v>-0.529150113987895</x:v>
      </x:c>
      <x:c r="D242" s="18" t="n">
        <x:v>0</x:v>
      </x:c>
      <x:c r="E242" s="17" t="n">
        <x:v>0.23272882094895386</x:v>
      </x:c>
      <x:c r="F242" s="18" t="n">
        <x:v>10</x:v>
      </x:c>
      <x:c r="G242" s="17" t="n">
        <x:v>0.2666700488831893</x:v>
      </x:c>
      <x:c r="H242" s="11" t="n">
        <x:f>1/G242</x:f>
        <x:v>3.7499524381833917</x:v>
      </x:c>
      <x:c r="I242" s="17" t="n">
        <x:v>3.9029435513623474</x:v>
      </x:c>
      <x:c r="J242" s="11" t="n">
        <x:f>I242/H242</x:f>
        <x:v>1.0407981476301256</x:v>
      </x:c>
      <x:c r="K242" s="16" t="n">
        <x:f>COUNTIFS($J$8:$J$437,"&gt;"&amp;J242)+COUNTIFS($J$8:J242,J242)</x:f>
        <x:v>196</x:v>
      </x:c>
      <x:c r="L242" s="16" t="n">
        <x:f>IF(K242&lt;='Wyniki'!$B$6,1,0)</x:f>
        <x:v>0</x:v>
      </x:c>
      <x:c r="M242" s="17" t="n">
        <x:v>0.4601184994326265</x:v>
      </x:c>
      <x:c r="N242" s="18" t="n">
        <x:v>40</x:v>
      </x:c>
      <x:c r="O242" s="17" t="n">
        <x:v>0.4406079933940587</x:v>
      </x:c>
      <x:c r="P242" s="11" t="n">
        <x:f>1/O242</x:f>
        <x:v>2.269591144493032</x:v>
      </x:c>
      <x:c r="Q242" s="17" t="n">
        <x:v>2.7394708370939154</x:v>
      </x:c>
      <x:c r="R242" s="11" t="n">
        <x:f>Q242/P242</x:f>
        <x:v>1.2070327484934924</x:v>
      </x:c>
      <x:c r="S242" s="16" t="n">
        <x:f>COUNTIFS($R$8:$R$437,"&gt;"&amp;R242)+COUNTIFS($R$8:R242,R242)</x:f>
        <x:v>110</x:v>
      </x:c>
      <x:c r="T242" s="16" t="n">
        <x:f>IF(S242&lt;='Wyniki'!$B$6,1,0)</x:f>
        <x:v>0</x:v>
      </x:c>
    </x:row>
    <x:row r="243" ht="22" customHeight="1">
      <x:c r="A243" s="18" t="n">
        <x:v>236</x:v>
      </x:c>
      <x:c r="B243" s="17" t="n">
        <x:v>0.19123964884802633</x:v>
      </x:c>
      <x:c r="C243" s="17" t="n">
        <x:v>-0.22389302999267882</x:v>
      </x:c>
      <x:c r="D243" s="18" t="n">
        <x:v>0</x:v>
      </x:c>
      <x:c r="E243" s="17" t="n">
        <x:v>0.13151876391628683</x:v>
      </x:c>
      <x:c r="F243" s="18" t="n">
        <x:v>10</x:v>
      </x:c>
      <x:c r="G243" s="17" t="n">
        <x:v>0.13303932276918118</x:v>
      </x:c>
      <x:c r="H243" s="11" t="n">
        <x:f>1/G243</x:f>
        <x:v>7.5165746426337945</x:v>
      </x:c>
      <x:c r="I243" s="17" t="n">
        <x:v>7.391057161509184</x:v>
      </x:c>
      <x:c r="J243" s="11" t="n">
        <x:f>I243/H243</x:f>
        <x:v>0.9833012393154883</x:v>
      </x:c>
      <x:c r="K243" s="16" t="n">
        <x:f>COUNTIFS($J$8:$J$437,"&gt;"&amp;J243)+COUNTIFS($J$8:J243,J243)</x:f>
        <x:v>370</x:v>
      </x:c>
      <x:c r="L243" s="16" t="n">
        <x:f>IF(K243&lt;='Wyniki'!$B$6,1,0)</x:f>
        <x:v>0</x:v>
      </x:c>
      <x:c r="M243" s="17" t="n">
        <x:v>0.2670499477956392</x:v>
      </x:c>
      <x:c r="N243" s="18" t="n">
        <x:v>40</x:v>
      </x:c>
      <x:c r="O243" s="17" t="n">
        <x:v>0.27926706633805776</x:v>
      </x:c>
      <x:c r="P243" s="11" t="n">
        <x:f>1/O243</x:f>
        <x:v>3.5808017504988654</x:v>
      </x:c>
      <x:c r="Q243" s="17" t="n">
        <x:v>3.541264200171862</x:v>
      </x:c>
      <x:c r="R243" s="11" t="n">
        <x:f>Q243/P243</x:f>
        <x:v>0.9889584643099845</x:v>
      </x:c>
      <x:c r="S243" s="16" t="n">
        <x:f>COUNTIFS($R$8:$R$437,"&gt;"&amp;R243)+COUNTIFS($R$8:R243,R243)</x:f>
        <x:v>352</x:v>
      </x:c>
      <x:c r="T243" s="16" t="n">
        <x:f>IF(S243&lt;='Wyniki'!$B$6,1,0)</x:f>
        <x:v>0</x:v>
      </x:c>
    </x:row>
    <x:row r="244" ht="22" customHeight="1">
      <x:c r="A244" s="18" t="n">
        <x:v>237</x:v>
      </x:c>
      <x:c r="B244" s="17" t="n">
        <x:v>-0.15640011092205233</x:v>
      </x:c>
      <x:c r="C244" s="17" t="n">
        <x:v>0.10192910717846011</x:v>
      </x:c>
      <x:c r="D244" s="18" t="n">
        <x:v>0</x:v>
      </x:c>
      <x:c r="E244" s="17" t="n">
        <x:v>0.10659972506671005</x:v>
      </x:c>
      <x:c r="F244" s="18" t="n">
        <x:v>10</x:v>
      </x:c>
      <x:c r="G244" s="17" t="n">
        <x:v>0.10745580465584703</x:v>
      </x:c>
      <x:c r="H244" s="11" t="n">
        <x:f>1/G244</x:f>
        <x:v>9.306151521574286</x:v>
      </x:c>
      <x:c r="I244" s="17" t="n">
        <x:v>9.232131980892007</x:v>
      </x:c>
      <x:c r="J244" s="11" t="n">
        <x:f>I244/H244</x:f>
        <x:v>0.9920461706957295</x:v>
      </x:c>
      <x:c r="K244" s="16" t="n">
        <x:f>COUNTIFS($J$8:$J$437,"&gt;"&amp;J244)+COUNTIFS($J$8:J244,J244)</x:f>
        <x:v>341</x:v>
      </x:c>
      <x:c r="L244" s="16" t="n">
        <x:f>IF(K244&lt;='Wyniki'!$B$6,1,0)</x:f>
        <x:v>0</x:v>
      </x:c>
      <x:c r="M244" s="17" t="n">
        <x:v>0.25104591363025236</x:v>
      </x:c>
      <x:c r="N244" s="18" t="n">
        <x:v>40</x:v>
      </x:c>
      <x:c r="O244" s="17" t="n">
        <x:v>0.26331332162359955</x:v>
      </x:c>
      <x:c r="P244" s="11" t="n">
        <x:f>1/O244</x:f>
        <x:v>3.7977569605440524</x:v>
      </x:c>
      <x:c r="Q244" s="17" t="n">
        <x:v>3.704210249057435</x:v>
      </x:c>
      <x:c r="R244" s="11" t="n">
        <x:f>Q244/P244</x:f>
        <x:v>0.9753679046714943</x:v>
      </x:c>
      <x:c r="S244" s="16" t="n">
        <x:f>COUNTIFS($R$8:$R$437,"&gt;"&amp;R244)+COUNTIFS($R$8:R244,R244)</x:f>
        <x:v>409</x:v>
      </x:c>
      <x:c r="T244" s="16" t="n">
        <x:f>IF(S244&lt;='Wyniki'!$B$6,1,0)</x:f>
        <x:v>0</x:v>
      </x:c>
    </x:row>
    <x:row r="245" ht="22" customHeight="1">
      <x:c r="A245" s="18" t="n">
        <x:v>238</x:v>
      </x:c>
      <x:c r="B245" s="17" t="n">
        <x:v>0.3405441143364663</x:v>
      </x:c>
      <x:c r="C245" s="17" t="n">
        <x:v>-0.18659216613620846</x:v>
      </x:c>
      <x:c r="D245" s="18" t="n">
        <x:v>0</x:v>
      </x:c>
      <x:c r="E245" s="17" t="n">
        <x:v>0.13430090681707588</x:v>
      </x:c>
      <x:c r="F245" s="18" t="n">
        <x:v>10</x:v>
      </x:c>
      <x:c r="G245" s="17" t="n">
        <x:v>0.12983557134100332</x:v>
      </x:c>
      <x:c r="H245" s="11" t="n">
        <x:f>1/G245</x:f>
        <x:v>7.702049520570719</x:v>
      </x:c>
      <x:c r="I245" s="17" t="n">
        <x:v>7.415262669869622</x:v>
      </x:c>
      <x:c r="J245" s="11" t="n">
        <x:f>I245/H245</x:f>
        <x:v>0.9627648653861361</x:v>
      </x:c>
      <x:c r="K245" s="16" t="n">
        <x:f>COUNTIFS($J$8:$J$437,"&gt;"&amp;J245)+COUNTIFS($J$8:J245,J245)</x:f>
        <x:v>409</x:v>
      </x:c>
      <x:c r="L245" s="16" t="n">
        <x:f>IF(K245&lt;='Wyniki'!$B$6,1,0)</x:f>
        <x:v>0</x:v>
      </x:c>
      <x:c r="M245" s="17" t="n">
        <x:v>0.3178000600615054</x:v>
      </x:c>
      <x:c r="N245" s="18" t="n">
        <x:v>40</x:v>
      </x:c>
      <x:c r="O245" s="17" t="n">
        <x:v>0.29109180721658917</x:v>
      </x:c>
      <x:c r="P245" s="11" t="n">
        <x:f>1/O245</x:f>
        <x:v>3.435342305102878</x:v>
      </x:c>
      <x:c r="Q245" s="17" t="n">
        <x:v>3.4467176596687814</x:v>
      </x:c>
      <x:c r="R245" s="11" t="n">
        <x:f>Q245/P245</x:f>
        <x:v>1.0033112725183184</x:v>
      </x:c>
      <x:c r="S245" s="16" t="n">
        <x:f>COUNTIFS($R$8:$R$437,"&gt;"&amp;R245)+COUNTIFS($R$8:R245,R245)</x:f>
        <x:v>299</x:v>
      </x:c>
      <x:c r="T245" s="16" t="n">
        <x:f>IF(S245&lt;='Wyniki'!$B$6,1,0)</x:f>
        <x:v>0</x:v>
      </x:c>
    </x:row>
    <x:row r="246" ht="22" customHeight="1">
      <x:c r="A246" s="18" t="n">
        <x:v>239</x:v>
      </x:c>
      <x:c r="B246" s="17" t="n">
        <x:v>0.5851183430038972</x:v>
      </x:c>
      <x:c r="C246" s="17" t="n">
        <x:v>-0.6280660243783223</x:v>
      </x:c>
      <x:c r="D246" s="18" t="n">
        <x:v>0</x:v>
      </x:c>
      <x:c r="E246" s="17" t="n">
        <x:v>0.3056868008233905</x:v>
      </x:c>
      <x:c r="F246" s="18" t="n">
        <x:v>10</x:v>
      </x:c>
      <x:c r="G246" s="17" t="n">
        <x:v>0.2756269488783383</x:v>
      </x:c>
      <x:c r="H246" s="11" t="n">
        <x:f>1/G246</x:f>
        <x:v>3.628092260461077</x:v>
      </x:c>
      <x:c r="I246" s="17" t="n">
        <x:v>3.915129569134579</x:v>
      </x:c>
      <x:c r="J246" s="11" t="n">
        <x:f>I246/H246</x:f>
        <x:v>1.0791152176039271</x:v>
      </x:c>
      <x:c r="K246" s="16" t="n">
        <x:f>COUNTIFS($J$8:$J$437,"&gt;"&amp;J246)+COUNTIFS($J$8:J246,J246)</x:f>
        <x:v>141</x:v>
      </x:c>
      <x:c r="L246" s="16" t="n">
        <x:f>IF(K246&lt;='Wyniki'!$B$6,1,0)</x:f>
        <x:v>0</x:v>
      </x:c>
      <x:c r="M246" s="17" t="n">
        <x:v>0.4864618025502029</x:v>
      </x:c>
      <x:c r="N246" s="18" t="n">
        <x:v>40</x:v>
      </x:c>
      <x:c r="O246" s="17" t="n">
        <x:v>0.47423384442009003</x:v>
      </x:c>
      <x:c r="P246" s="11" t="n">
        <x:f>1/O246</x:f>
        <x:v>2.108664347275415</x:v>
      </x:c>
      <x:c r="Q246" s="17" t="n">
        <x:v>2.6212370406133</x:v>
      </x:c>
      <x:c r="R246" s="11" t="n">
        <x:f>Q246/P246</x:f>
        <x:v>1.2430793189063851</x:v>
      </x:c>
      <x:c r="S246" s="16" t="n">
        <x:f>COUNTIFS($R$8:$R$437,"&gt;"&amp;R246)+COUNTIFS($R$8:R246,R246)</x:f>
        <x:v>100</x:v>
      </x:c>
      <x:c r="T246" s="16" t="n">
        <x:f>IF(S246&lt;='Wyniki'!$B$6,1,0)</x:f>
        <x:v>0</x:v>
      </x:c>
    </x:row>
    <x:row r="247" ht="22" customHeight="1">
      <x:c r="A247" s="18" t="n">
        <x:v>240</x:v>
      </x:c>
      <x:c r="B247" s="17" t="n">
        <x:v>0.0034864842992476434</x:v>
      </x:c>
      <x:c r="C247" s="17" t="n">
        <x:v>1.4287205496277078</x:v>
      </x:c>
      <x:c r="D247" s="18" t="n">
        <x:v>0</x:v>
      </x:c>
      <x:c r="E247" s="17" t="n">
        <x:v>0.6181557988834074</x:v>
      </x:c>
      <x:c r="F247" s="18" t="n">
        <x:v>10</x:v>
      </x:c>
      <x:c r="G247" s="17" t="n">
        <x:v>0.4878387956915371</x:v>
      </x:c>
      <x:c r="H247" s="11" t="n">
        <x:f>1/G247</x:f>
        <x:v>2.049857471016522</x:v>
      </x:c>
      <x:c r="I247" s="17" t="n">
        <x:v>3.9092928137118603</x:v>
      </x:c>
      <x:c r="J247" s="11" t="n">
        <x:f>I247/H247</x:f>
        <x:v>1.9071046982467743</x:v>
      </x:c>
      <x:c r="K247" s="16" t="n">
        <x:f>COUNTIFS($J$8:$J$437,"&gt;"&amp;J247)+COUNTIFS($J$8:J247,J247)</x:f>
        <x:v>3</x:v>
      </x:c>
      <x:c r="L247" s="16" t="n">
        <x:f>IF(K247&lt;='Wyniki'!$B$6,1,0)</x:f>
        <x:v>1</x:v>
      </x:c>
      <x:c r="M247" s="17" t="n">
        <x:v>0.8829293467747715</x:v>
      </x:c>
      <x:c r="N247" s="18" t="n">
        <x:v>40</x:v>
      </x:c>
      <x:c r="O247" s="17" t="n">
        <x:v>0.7176857373097276</x:v>
      </x:c>
      <x:c r="P247" s="11" t="n">
        <x:f>1/O247</x:f>
        <x:v>1.3933675256645592</x:v>
      </x:c>
      <x:c r="Q247" s="17" t="n">
        <x:v>2.2298179390696893</x:v>
      </x:c>
      <x:c r="R247" s="11" t="n">
        <x:f>Q247/P247</x:f>
        <x:v>1.6003085316676873</x:v>
      </x:c>
      <x:c r="S247" s="16" t="n">
        <x:f>COUNTIFS($R$8:$R$437,"&gt;"&amp;R247)+COUNTIFS($R$8:R247,R247)</x:f>
        <x:v>47</x:v>
      </x:c>
      <x:c r="T247" s="16" t="n">
        <x:f>IF(S247&lt;='Wyniki'!$B$6,1,0)</x:f>
        <x:v>0</x:v>
      </x:c>
    </x:row>
    <x:row r="248" ht="22" customHeight="1">
      <x:c r="A248" s="18" t="n">
        <x:v>241</x:v>
      </x:c>
      <x:c r="B248" s="17" t="n">
        <x:v>0.12269385844390132</x:v>
      </x:c>
      <x:c r="C248" s="17" t="n">
        <x:v>0.788267978633395</x:v>
      </x:c>
      <x:c r="D248" s="18" t="n">
        <x:v>0</x:v>
      </x:c>
      <x:c r="E248" s="17" t="n">
        <x:v>0.1350066799162453</x:v>
      </x:c>
      <x:c r="F248" s="18" t="n">
        <x:v>10</x:v>
      </x:c>
      <x:c r="G248" s="17" t="n">
        <x:v>0.16858032231024495</x:v>
      </x:c>
      <x:c r="H248" s="11" t="n">
        <x:f>1/G248</x:f>
        <x:v>5.931890426450016</x:v>
      </x:c>
      <x:c r="I248" s="17" t="n">
        <x:v>5.9865590994943485</x:v>
      </x:c>
      <x:c r="J248" s="11" t="n">
        <x:f>I248/H248</x:f>
        <x:v>1.009216062522087</x:v>
      </x:c>
      <x:c r="K248" s="16" t="n">
        <x:f>COUNTIFS($J$8:$J$437,"&gt;"&amp;J248)+COUNTIFS($J$8:J248,J248)</x:f>
        <x:v>272</x:v>
      </x:c>
      <x:c r="L248" s="16" t="n">
        <x:f>IF(K248&lt;='Wyniki'!$B$6,1,0)</x:f>
        <x:v>0</x:v>
      </x:c>
      <x:c r="M248" s="17" t="n">
        <x:v>0.4005698975660718</x:v>
      </x:c>
      <x:c r="N248" s="18" t="n">
        <x:v>40</x:v>
      </x:c>
      <x:c r="O248" s="17" t="n">
        <x:v>0.41560280223459223</x:v>
      </x:c>
      <x:c r="P248" s="11" t="n">
        <x:f>1/O248</x:f>
        <x:v>2.4061435452871116</x:v>
      </x:c>
      <x:c r="Q248" s="17" t="n">
        <x:v>2.5810815948498367</x:v>
      </x:c>
      <x:c r="R248" s="11" t="n">
        <x:f>Q248/P248</x:f>
        <x:v>1.0727047436157224</x:v>
      </x:c>
      <x:c r="S248" s="16" t="n">
        <x:f>COUNTIFS($R$8:$R$437,"&gt;"&amp;R248)+COUNTIFS($R$8:R248,R248)</x:f>
        <x:v>170</x:v>
      </x:c>
      <x:c r="T248" s="16" t="n">
        <x:f>IF(S248&lt;='Wyniki'!$B$6,1,0)</x:f>
        <x:v>0</x:v>
      </x:c>
    </x:row>
    <x:row r="249" ht="22" customHeight="1">
      <x:c r="A249" s="18" t="n">
        <x:v>242</x:v>
      </x:c>
      <x:c r="B249" s="17" t="n">
        <x:v>0.0503360979952645</x:v>
      </x:c>
      <x:c r="C249" s="17" t="n">
        <x:v>0.31942740243138823</x:v>
      </x:c>
      <x:c r="D249" s="18" t="n">
        <x:v>0</x:v>
      </x:c>
      <x:c r="E249" s="17" t="n">
        <x:v>0.16198450549733856</x:v>
      </x:c>
      <x:c r="F249" s="18" t="n">
        <x:v>10</x:v>
      </x:c>
      <x:c r="G249" s="17" t="n">
        <x:v>0.14618321514696334</x:v>
      </x:c>
      <x:c r="H249" s="11" t="n">
        <x:f>1/G249</x:f>
        <x:v>6.840730647459514</x:v>
      </x:c>
      <x:c r="I249" s="17" t="n">
        <x:v>6.921764369978879</x:v>
      </x:c>
      <x:c r="J249" s="11" t="n">
        <x:f>I249/H249</x:f>
        <x:v>1.0118457700932078</x:v>
      </x:c>
      <x:c r="K249" s="16" t="n">
        <x:f>COUNTIFS($J$8:$J$437,"&gt;"&amp;J249)+COUNTIFS($J$8:J249,J249)</x:f>
        <x:v>261</x:v>
      </x:c>
      <x:c r="L249" s="16" t="n">
        <x:f>IF(K249&lt;='Wyniki'!$B$6,1,0)</x:f>
        <x:v>0</x:v>
      </x:c>
      <x:c r="M249" s="17" t="n">
        <x:v>0.26981593194944203</x:v>
      </x:c>
      <x:c r="N249" s="18" t="n">
        <x:v>40</x:v>
      </x:c>
      <x:c r="O249" s="17" t="n">
        <x:v>0.27135390506102935</x:v>
      </x:c>
      <x:c r="P249" s="11" t="n">
        <x:f>1/O249</x:f>
        <x:v>3.6852242821974244</x:v>
      </x:c>
      <x:c r="Q249" s="17" t="n">
        <x:v>3.6500244878564403</x:v>
      </x:c>
      <x:c r="R249" s="11" t="n">
        <x:f>Q249/P249</x:f>
        <x:v>0.9904483983482288</x:v>
      </x:c>
      <x:c r="S249" s="16" t="n">
        <x:f>COUNTIFS($R$8:$R$437,"&gt;"&amp;R249)+COUNTIFS($R$8:R249,R249)</x:f>
        <x:v>345</x:v>
      </x:c>
      <x:c r="T249" s="16" t="n">
        <x:f>IF(S249&lt;='Wyniki'!$B$6,1,0)</x:f>
        <x:v>0</x:v>
      </x:c>
    </x:row>
    <x:row r="250" ht="22" customHeight="1">
      <x:c r="A250" s="18" t="n">
        <x:v>243</x:v>
      </x:c>
      <x:c r="B250" s="17" t="n">
        <x:v>-0.031230756915980346</x:v>
      </x:c>
      <x:c r="C250" s="17" t="n">
        <x:v>-0.09372416964031244</x:v>
      </x:c>
      <x:c r="D250" s="18" t="n">
        <x:v>0</x:v>
      </x:c>
      <x:c r="E250" s="17" t="n">
        <x:v>0.11287023079536021</x:v>
      </x:c>
      <x:c r="F250" s="18" t="n">
        <x:v>10</x:v>
      </x:c>
      <x:c r="G250" s="17" t="n">
        <x:v>0.12963340703817375</x:v>
      </x:c>
      <x:c r="H250" s="11" t="n">
        <x:f>1/G250</x:f>
        <x:v>7.714060926482673</x:v>
      </x:c>
      <x:c r="I250" s="17" t="n">
        <x:v>7.738386199785467</x:v>
      </x:c>
      <x:c r="J250" s="11" t="n">
        <x:f>I250/H250</x:f>
        <x:v>1.003153368055376</x:v>
      </x:c>
      <x:c r="K250" s="16" t="n">
        <x:f>COUNTIFS($J$8:$J$437,"&gt;"&amp;J250)+COUNTIFS($J$8:J250,J250)</x:f>
        <x:v>296</x:v>
      </x:c>
      <x:c r="L250" s="16" t="n">
        <x:f>IF(K250&lt;='Wyniki'!$B$6,1,0)</x:f>
        <x:v>0</x:v>
      </x:c>
      <x:c r="M250" s="17" t="n">
        <x:v>0.24447497559658993</x:v>
      </x:c>
      <x:c r="N250" s="18" t="n">
        <x:v>40</x:v>
      </x:c>
      <x:c r="O250" s="17" t="n">
        <x:v>0.2633033082848464</x:v>
      </x:c>
      <x:c r="P250" s="11" t="n">
        <x:f>1/O250</x:f>
        <x:v>3.797901387999962</x:v>
      </x:c>
      <x:c r="Q250" s="17" t="n">
        <x:v>3.7453189513214995</x:v>
      </x:c>
      <x:c r="R250" s="11" t="n">
        <x:f>Q250/P250</x:f>
        <x:v>0.9861548704648824</x:v>
      </x:c>
      <x:c r="S250" s="16" t="n">
        <x:f>COUNTIFS($R$8:$R$437,"&gt;"&amp;R250)+COUNTIFS($R$8:R250,R250)</x:f>
        <x:v>359</x:v>
      </x:c>
      <x:c r="T250" s="16" t="n">
        <x:f>IF(S250&lt;='Wyniki'!$B$6,1,0)</x:f>
        <x:v>0</x:v>
      </x:c>
    </x:row>
    <x:row r="251" ht="22" customHeight="1">
      <x:c r="A251" s="18" t="n">
        <x:v>244</x:v>
      </x:c>
      <x:c r="B251" s="17" t="n">
        <x:v>-0.42871531819898084</x:v>
      </x:c>
      <x:c r="C251" s="17" t="n">
        <x:v>0.2366657474266543</x:v>
      </x:c>
      <x:c r="D251" s="18" t="n">
        <x:v>0</x:v>
      </x:c>
      <x:c r="E251" s="17" t="n">
        <x:v>0.1257195189597819</x:v>
      </x:c>
      <x:c r="F251" s="18" t="n">
        <x:v>10</x:v>
      </x:c>
      <x:c r="G251" s="17" t="n">
        <x:v>0.14187610896401973</x:v>
      </x:c>
      <x:c r="H251" s="11" t="n">
        <x:f>1/G251</x:f>
        <x:v>7.048403056032524</x:v>
      </x:c>
      <x:c r="I251" s="17" t="n">
        <x:v>6.9672295802995405</x:v>
      </x:c>
      <x:c r="J251" s="11" t="n">
        <x:f>I251/H251</x:f>
        <x:v>0.9884834231119191</x:v>
      </x:c>
      <x:c r="K251" s="16" t="n">
        <x:f>COUNTIFS($J$8:$J$437,"&gt;"&amp;J251)+COUNTIFS($J$8:J251,J251)</x:f>
        <x:v>352</x:v>
      </x:c>
      <x:c r="L251" s="16" t="n">
        <x:f>IF(K251&lt;='Wyniki'!$B$6,1,0)</x:f>
        <x:v>0</x:v>
      </x:c>
      <x:c r="M251" s="17" t="n">
        <x:v>0.3211362044154657</x:v>
      </x:c>
      <x:c r="N251" s="18" t="n">
        <x:v>40</x:v>
      </x:c>
      <x:c r="O251" s="17" t="n">
        <x:v>0.3226696814165826</x:v>
      </x:c>
      <x:c r="P251" s="11" t="n">
        <x:f>1/O251</x:f>
        <x:v>3.099144597688279</x:v>
      </x:c>
      <x:c r="Q251" s="17" t="n">
        <x:v>3.154643549840151</x:v>
      </x:c>
      <x:c r="R251" s="11" t="n">
        <x:f>Q251/P251</x:f>
        <x:v>1.0179078292097985</x:v>
      </x:c>
      <x:c r="S251" s="16" t="n">
        <x:f>COUNTIFS($R$8:$R$437,"&gt;"&amp;R251)+COUNTIFS($R$8:R251,R251)</x:f>
        <x:v>247</x:v>
      </x:c>
      <x:c r="T251" s="16" t="n">
        <x:f>IF(S251&lt;='Wyniki'!$B$6,1,0)</x:f>
        <x:v>0</x:v>
      </x:c>
    </x:row>
    <x:row r="252" ht="22" customHeight="1">
      <x:c r="A252" s="18" t="n">
        <x:v>245</x:v>
      </x:c>
      <x:c r="B252" s="17" t="n">
        <x:v>-0.46834545405217237</x:v>
      </x:c>
      <x:c r="C252" s="17" t="n">
        <x:v>0.36607187997238605</x:v>
      </x:c>
      <x:c r="D252" s="18" t="n">
        <x:v>0</x:v>
      </x:c>
      <x:c r="E252" s="17" t="n">
        <x:v>0.16213001438864907</x:v>
      </x:c>
      <x:c r="F252" s="18" t="n">
        <x:v>10</x:v>
      </x:c>
      <x:c r="G252" s="17" t="n">
        <x:v>0.16126479880078579</x:v>
      </x:c>
      <x:c r="H252" s="11" t="n">
        <x:f>1/G252</x:f>
        <x:v>6.200981289384322</x:v>
      </x:c>
      <x:c r="I252" s="17" t="n">
        <x:v>6.420050404123037</x:v>
      </x:c>
      <x:c r="J252" s="11" t="n">
        <x:f>I252/H252</x:f>
        <x:v>1.035328136711805</x:v>
      </x:c>
      <x:c r="K252" s="16" t="n">
        <x:f>COUNTIFS($J$8:$J$437,"&gt;"&amp;J252)+COUNTIFS($J$8:J252,J252)</x:f>
        <x:v>203</x:v>
      </x:c>
      <x:c r="L252" s="16" t="n">
        <x:f>IF(K252&lt;='Wyniki'!$B$6,1,0)</x:f>
        <x:v>0</x:v>
      </x:c>
      <x:c r="M252" s="17" t="n">
        <x:v>0.36362968645198257</x:v>
      </x:c>
      <x:c r="N252" s="18" t="n">
        <x:v>40</x:v>
      </x:c>
      <x:c r="O252" s="17" t="n">
        <x:v>0.3455762064026574</x:v>
      </x:c>
      <x:c r="P252" s="11" t="n">
        <x:f>1/O252</x:f>
        <x:v>2.8937177429247636</x:v>
      </x:c>
      <x:c r="Q252" s="17" t="n">
        <x:v>3.013368748918473</x:v>
      </x:c>
      <x:c r="R252" s="11" t="n">
        <x:f>Q252/P252</x:f>
        <x:v>1.0413485407435676</x:v>
      </x:c>
      <x:c r="S252" s="16" t="n">
        <x:f>COUNTIFS($R$8:$R$437,"&gt;"&amp;R252)+COUNTIFS($R$8:R252,R252)</x:f>
        <x:v>208</x:v>
      </x:c>
      <x:c r="T252" s="16" t="n">
        <x:f>IF(S252&lt;='Wyniki'!$B$6,1,0)</x:f>
        <x:v>0</x:v>
      </x:c>
    </x:row>
    <x:row r="253" ht="22" customHeight="1">
      <x:c r="A253" s="18" t="n">
        <x:v>246</x:v>
      </x:c>
      <x:c r="B253" s="17" t="n">
        <x:v>0.5969078524452506</x:v>
      </x:c>
      <x:c r="C253" s="17" t="n">
        <x:v>0.20159227398047647</x:v>
      </x:c>
      <x:c r="D253" s="18" t="n">
        <x:v>0</x:v>
      </x:c>
      <x:c r="E253" s="17" t="n">
        <x:v>0.13868172232290604</x:v>
      </x:c>
      <x:c r="F253" s="18" t="n">
        <x:v>10</x:v>
      </x:c>
      <x:c r="G253" s="17" t="n">
        <x:v>0.15077904753507854</x:v>
      </x:c>
      <x:c r="H253" s="11" t="n">
        <x:f>1/G253</x:f>
        <x:v>6.6322212293279765</x:v>
      </x:c>
      <x:c r="I253" s="17" t="n">
        <x:v>7.152041093473606</x:v>
      </x:c>
      <x:c r="J253" s="11" t="n">
        <x:f>I253/H253</x:f>
        <x:v>1.078377944005692</x:v>
      </x:c>
      <x:c r="K253" s="16" t="n">
        <x:f>COUNTIFS($J$8:$J$437,"&gt;"&amp;J253)+COUNTIFS($J$8:J253,J253)</x:f>
        <x:v>142</x:v>
      </x:c>
      <x:c r="L253" s="16" t="n">
        <x:f>IF(K253&lt;='Wyniki'!$B$6,1,0)</x:f>
        <x:v>0</x:v>
      </x:c>
      <x:c r="M253" s="17" t="n">
        <x:v>0.30413838836418483</x:v>
      </x:c>
      <x:c r="N253" s="18" t="n">
        <x:v>40</x:v>
      </x:c>
      <x:c r="O253" s="17" t="n">
        <x:v>0.31032240825585633</x:v>
      </x:c>
      <x:c r="P253" s="11" t="n">
        <x:f>1/O253</x:f>
        <x:v>3.2224550125800597</x:v>
      </x:c>
      <x:c r="Q253" s="17" t="n">
        <x:v>3.260708811531882</x:v>
      </x:c>
      <x:c r="R253" s="11" t="n">
        <x:f>Q253/P253</x:f>
        <x:v>1.0118710110156648</x:v>
      </x:c>
      <x:c r="S253" s="16" t="n">
        <x:f>COUNTIFS($R$8:$R$437,"&gt;"&amp;R253)+COUNTIFS($R$8:R253,R253)</x:f>
        <x:v>260</x:v>
      </x:c>
      <x:c r="T253" s="16" t="n">
        <x:f>IF(S253&lt;='Wyniki'!$B$6,1,0)</x:f>
        <x:v>0</x:v>
      </x:c>
    </x:row>
    <x:row r="254" ht="22" customHeight="1">
      <x:c r="A254" s="18" t="n">
        <x:v>247</x:v>
      </x:c>
      <x:c r="B254" s="17" t="n">
        <x:v>-0.15743680345563055</x:v>
      </x:c>
      <x:c r="C254" s="17" t="n">
        <x:v>0.24968106861978287</x:v>
      </x:c>
      <x:c r="D254" s="18" t="n">
        <x:v>0</x:v>
      </x:c>
      <x:c r="E254" s="17" t="n">
        <x:v>0.13057620863054237</x:v>
      </x:c>
      <x:c r="F254" s="18" t="n">
        <x:v>10</x:v>
      </x:c>
      <x:c r="G254" s="17" t="n">
        <x:v>0.1241823713530144</x:v>
      </x:c>
      <x:c r="H254" s="11" t="n">
        <x:f>1/G254</x:f>
        <x:v>8.052672767516176</x:v>
      </x:c>
      <x:c r="I254" s="17" t="n">
        <x:v>8.762341003467451</x:v>
      </x:c>
      <x:c r="J254" s="11" t="n">
        <x:f>I254/H254</x:f>
        <x:v>1.0881282844143398</x:v>
      </x:c>
      <x:c r="K254" s="16" t="n">
        <x:f>COUNTIFS($J$8:$J$437,"&gt;"&amp;J254)+COUNTIFS($J$8:J254,J254)</x:f>
        <x:v>132</x:v>
      </x:c>
      <x:c r="L254" s="16" t="n">
        <x:f>IF(K254&lt;='Wyniki'!$B$6,1,0)</x:f>
        <x:v>0</x:v>
      </x:c>
      <x:c r="M254" s="17" t="n">
        <x:v>0.2537022755792134</x:v>
      </x:c>
      <x:c r="N254" s="18" t="n">
        <x:v>40</x:v>
      </x:c>
      <x:c r="O254" s="17" t="n">
        <x:v>0.274310132159376</x:v>
      </x:c>
      <x:c r="P254" s="11" t="n">
        <x:f>1/O254</x:f>
        <x:v>3.6455087973892026</x:v>
      </x:c>
      <x:c r="Q254" s="17" t="n">
        <x:v>3.585732408153767</x:v>
      </x:c>
      <x:c r="R254" s="11" t="n">
        <x:f>Q254/P254</x:f>
        <x:v>0.9836027307688173</x:v>
      </x:c>
      <x:c r="S254" s="16" t="n">
        <x:f>COUNTIFS($R$8:$R$437,"&gt;"&amp;R254)+COUNTIFS($R$8:R254,R254)</x:f>
        <x:v>375</x:v>
      </x:c>
      <x:c r="T254" s="16" t="n">
        <x:f>IF(S254&lt;='Wyniki'!$B$6,1,0)</x:f>
        <x:v>0</x:v>
      </x:c>
    </x:row>
    <x:row r="255" ht="22" customHeight="1">
      <x:c r="A255" s="18" t="n">
        <x:v>248</x:v>
      </x:c>
      <x:c r="B255" s="17" t="n">
        <x:v>-0.16977018055052695</x:v>
      </x:c>
      <x:c r="C255" s="17" t="n">
        <x:v>0.5145509190058322</x:v>
      </x:c>
      <x:c r="D255" s="18" t="n">
        <x:v>0</x:v>
      </x:c>
      <x:c r="E255" s="17" t="n">
        <x:v>0.1721788749251415</x:v>
      </x:c>
      <x:c r="F255" s="18" t="n">
        <x:v>10</x:v>
      </x:c>
      <x:c r="G255" s="17" t="n">
        <x:v>0.1780774818185125</x:v>
      </x:c>
      <x:c r="H255" s="11" t="n">
        <x:f>1/G255</x:f>
        <x:v>5.61553313640828</x:v>
      </x:c>
      <x:c r="I255" s="17" t="n">
        <x:v>5.756057229380672</x:v>
      </x:c>
      <x:c r="J255" s="11" t="n">
        <x:f>I255/H255</x:f>
        <x:v>1.0250241766113541</x:v>
      </x:c>
      <x:c r="K255" s="16" t="n">
        <x:f>COUNTIFS($J$8:$J$437,"&gt;"&amp;J255)+COUNTIFS($J$8:J255,J255)</x:f>
        <x:v>230</x:v>
      </x:c>
      <x:c r="L255" s="16" t="n">
        <x:f>IF(K255&lt;='Wyniki'!$B$6,1,0)</x:f>
        <x:v>0</x:v>
      </x:c>
      <x:c r="M255" s="17" t="n">
        <x:v>0.3283344663312718</x:v>
      </x:c>
      <x:c r="N255" s="18" t="n">
        <x:v>40</x:v>
      </x:c>
      <x:c r="O255" s="17" t="n">
        <x:v>0.3422241468476166</x:v>
      </x:c>
      <x:c r="P255" s="11" t="n">
        <x:f>1/O255</x:f>
        <x:v>2.9220614886806153</x:v>
      </x:c>
      <x:c r="Q255" s="17" t="n">
        <x:v>3.0592600349292516</x:v>
      </x:c>
      <x:c r="R255" s="11" t="n">
        <x:f>Q255/P255</x:f>
        <x:v>1.0469526554386728</x:v>
      </x:c>
      <x:c r="S255" s="16" t="n">
        <x:f>COUNTIFS($R$8:$R$437,"&gt;"&amp;R255)+COUNTIFS($R$8:R255,R255)</x:f>
        <x:v>203</x:v>
      </x:c>
      <x:c r="T255" s="16" t="n">
        <x:f>IF(S255&lt;='Wyniki'!$B$6,1,0)</x:f>
        <x:v>0</x:v>
      </x:c>
    </x:row>
    <x:row r="256" ht="22" customHeight="1">
      <x:c r="A256" s="18" t="n">
        <x:v>249</x:v>
      </x:c>
      <x:c r="B256" s="17" t="n">
        <x:v>-1.007273346318318</x:v>
      </x:c>
      <x:c r="C256" s="17" t="n">
        <x:v>-0.18458405246525544</x:v>
      </x:c>
      <x:c r="D256" s="18" t="n">
        <x:v>0</x:v>
      </x:c>
      <x:c r="E256" s="17" t="n">
        <x:v>0.24625840504891786</x:v>
      </x:c>
      <x:c r="F256" s="18" t="n">
        <x:v>10</x:v>
      </x:c>
      <x:c r="G256" s="17" t="n">
        <x:v>0.23715354003753314</x:v>
      </x:c>
      <x:c r="H256" s="11" t="n">
        <x:f>1/G256</x:f>
        <x:v>4.216677515510563</x:v>
      </x:c>
      <x:c r="I256" s="17" t="n">
        <x:v>4.227416628667405</x:v>
      </x:c>
      <x:c r="J256" s="11" t="n">
        <x:f>I256/H256</x:f>
        <x:v>1.0025468187020088</x:v>
      </x:c>
      <x:c r="K256" s="16" t="n">
        <x:f>COUNTIFS($J$8:$J$437,"&gt;"&amp;J256)+COUNTIFS($J$8:J256,J256)</x:f>
        <x:v>300</x:v>
      </x:c>
      <x:c r="L256" s="16" t="n">
        <x:f>IF(K256&lt;='Wyniki'!$B$6,1,0)</x:f>
        <x:v>0</x:v>
      </x:c>
      <x:c r="M256" s="17" t="n">
        <x:v>0.5032763801296756</x:v>
      </x:c>
      <x:c r="N256" s="18" t="n">
        <x:v>40</x:v>
      </x:c>
      <x:c r="O256" s="17" t="n">
        <x:v>0.4927942746442319</x:v>
      </x:c>
      <x:c r="P256" s="11" t="n">
        <x:f>1/O256</x:f>
        <x:v>2.0292443550038004</x:v>
      </x:c>
      <x:c r="Q256" s="17" t="n">
        <x:v>2.344506237412409</x:v>
      </x:c>
      <x:c r="R256" s="11" t="n">
        <x:f>Q256/P256</x:f>
        <x:v>1.1553592506645254</x:v>
      </x:c>
      <x:c r="S256" s="16" t="n">
        <x:f>COUNTIFS($R$8:$R$437,"&gt;"&amp;R256)+COUNTIFS($R$8:R256,R256)</x:f>
        <x:v>130</x:v>
      </x:c>
      <x:c r="T256" s="16" t="n">
        <x:f>IF(S256&lt;='Wyniki'!$B$6,1,0)</x:f>
        <x:v>0</x:v>
      </x:c>
    </x:row>
    <x:row r="257" ht="22" customHeight="1">
      <x:c r="A257" s="18" t="n">
        <x:v>250</x:v>
      </x:c>
      <x:c r="B257" s="17" t="n">
        <x:v>-1.0949465973181989</x:v>
      </x:c>
      <x:c r="C257" s="17" t="n">
        <x:v>-0.8222834566249628</x:v>
      </x:c>
      <x:c r="D257" s="18" t="n">
        <x:v>0</x:v>
      </x:c>
      <x:c r="E257" s="17" t="n">
        <x:v>0.389028758046623</x:v>
      </x:c>
      <x:c r="F257" s="18" t="n">
        <x:v>10</x:v>
      </x:c>
      <x:c r="G257" s="17" t="n">
        <x:v>0.38129036139609873</x:v>
      </x:c>
      <x:c r="H257" s="11" t="n">
        <x:f>1/G257</x:f>
        <x:v>2.6226731678673683</x:v>
      </x:c>
      <x:c r="I257" s="17" t="n">
        <x:v>2.855101400955253</x:v>
      </x:c>
      <x:c r="J257" s="11" t="n">
        <x:f>I257/H257</x:f>
        <x:v>1.0886226449927363</x:v>
      </x:c>
      <x:c r="K257" s="16" t="n">
        <x:f>COUNTIFS($J$8:$J$437,"&gt;"&amp;J257)+COUNTIFS($J$8:J257,J257)</x:f>
        <x:v>131</x:v>
      </x:c>
      <x:c r="L257" s="16" t="n">
        <x:f>IF(K257&lt;='Wyniki'!$B$6,1,0)</x:f>
        <x:v>0</x:v>
      </x:c>
      <x:c r="M257" s="17" t="n">
        <x:v>0.7265702810150851</x:v>
      </x:c>
      <x:c r="N257" s="18" t="n">
        <x:v>40</x:v>
      </x:c>
      <x:c r="O257" s="17" t="n">
        <x:v>0.6544625141466621</x:v>
      </x:c>
      <x:c r="P257" s="11" t="n">
        <x:f>1/O257</x:f>
        <x:v>1.5279713939061519</x:v>
      </x:c>
      <x:c r="Q257" s="17" t="n">
        <x:v>2.150008191220487</x:v>
      </x:c>
      <x:c r="R257" s="11" t="n">
        <x:f>Q257/P257</x:f>
        <x:v>1.4070997662620774</x:v>
      </x:c>
      <x:c r="S257" s="16" t="n">
        <x:f>COUNTIFS($R$8:$R$437,"&gt;"&amp;R257)+COUNTIFS($R$8:R257,R257)</x:f>
        <x:v>64</x:v>
      </x:c>
      <x:c r="T257" s="16" t="n">
        <x:f>IF(S257&lt;='Wyniki'!$B$6,1,0)</x:f>
        <x:v>0</x:v>
      </x:c>
    </x:row>
    <x:row r="258" ht="22" customHeight="1">
      <x:c r="A258" s="18" t="n">
        <x:v>251</x:v>
      </x:c>
      <x:c r="B258" s="17" t="n">
        <x:v>0.7501242263976502</x:v>
      </x:c>
      <x:c r="C258" s="17" t="n">
        <x:v>0.49235174008442734</x:v>
      </x:c>
      <x:c r="D258" s="18" t="n">
        <x:v>0</x:v>
      </x:c>
      <x:c r="E258" s="17" t="n">
        <x:v>0.2670091681733432</x:v>
      </x:c>
      <x:c r="F258" s="18" t="n">
        <x:v>10</x:v>
      </x:c>
      <x:c r="G258" s="17" t="n">
        <x:v>0.27009848892607646</x:v>
      </x:c>
      <x:c r="H258" s="11" t="n">
        <x:f>1/G258</x:f>
        <x:v>3.702353182263419</x:v>
      </x:c>
      <x:c r="I258" s="17" t="n">
        <x:v>4.081163407675931</x:v>
      </x:c>
      <x:c r="J258" s="11" t="n">
        <x:f>I258/H258</x:f>
        <x:v>1.102316069473666</x:v>
      </x:c>
      <x:c r="K258" s="16" t="n">
        <x:f>COUNTIFS($J$8:$J$437,"&gt;"&amp;J258)+COUNTIFS($J$8:J258,J258)</x:f>
        <x:v>113</x:v>
      </x:c>
      <x:c r="L258" s="16" t="n">
        <x:f>IF(K258&lt;='Wyniki'!$B$6,1,0)</x:f>
        <x:v>0</x:v>
      </x:c>
      <x:c r="M258" s="17" t="n">
        <x:v>0.43706397246318857</x:v>
      </x:c>
      <x:c r="N258" s="18" t="n">
        <x:v>40</x:v>
      </x:c>
      <x:c r="O258" s="17" t="n">
        <x:v>0.41518797527184204</x:v>
      </x:c>
      <x:c r="P258" s="11" t="n">
        <x:f>1/O258</x:f>
        <x:v>2.408547596652469</x:v>
      </x:c>
      <x:c r="Q258" s="17" t="n">
        <x:v>2.8543298054321418</x:v>
      </x:c>
      <x:c r="R258" s="11" t="n">
        <x:f>Q258/P258</x:f>
        <x:v>1.185083412675442</x:v>
      </x:c>
      <x:c r="S258" s="16" t="n">
        <x:f>COUNTIFS($R$8:$R$437,"&gt;"&amp;R258)+COUNTIFS($R$8:R258,R258)</x:f>
        <x:v>121</x:v>
      </x:c>
      <x:c r="T258" s="16" t="n">
        <x:f>IF(S258&lt;='Wyniki'!$B$6,1,0)</x:f>
        <x:v>0</x:v>
      </x:c>
    </x:row>
    <x:row r="259" ht="22" customHeight="1">
      <x:c r="A259" s="18" t="n">
        <x:v>252</x:v>
      </x:c>
      <x:c r="B259" s="17" t="n">
        <x:v>-0.3957141283066347</x:v>
      </x:c>
      <x:c r="C259" s="17" t="n">
        <x:v>-0.8263769008224934</x:v>
      </x:c>
      <x:c r="D259" s="18" t="n">
        <x:v>0</x:v>
      </x:c>
      <x:c r="E259" s="17" t="n">
        <x:v>0.2125345678478075</x:v>
      </x:c>
      <x:c r="F259" s="18" t="n">
        <x:v>10</x:v>
      </x:c>
      <x:c r="G259" s="17" t="n">
        <x:v>0.1894018302429345</x:v>
      </x:c>
      <x:c r="H259" s="11" t="n">
        <x:f>1/G259</x:f>
        <x:v>5.279780024920346</x:v>
      </x:c>
      <x:c r="I259" s="17" t="n">
        <x:v>5.749289332292823</x:v>
      </x:c>
      <x:c r="J259" s="11" t="n">
        <x:f>I259/H259</x:f>
        <x:v>1.0889259221324394</x:v>
      </x:c>
      <x:c r="K259" s="16" t="n">
        <x:f>COUNTIFS($J$8:$J$437,"&gt;"&amp;J259)+COUNTIFS($J$8:J259,J259)</x:f>
        <x:v>129</x:v>
      </x:c>
      <x:c r="L259" s="16" t="n">
        <x:f>IF(K259&lt;='Wyniki'!$B$6,1,0)</x:f>
        <x:v>0</x:v>
      </x:c>
      <x:c r="M259" s="17" t="n">
        <x:v>0.4438504120322244</x:v>
      </x:c>
      <x:c r="N259" s="18" t="n">
        <x:v>40</x:v>
      </x:c>
      <x:c r="O259" s="17" t="n">
        <x:v>0.4122092447046236</x:v>
      </x:c>
      <x:c r="P259" s="11" t="n">
        <x:f>1/O259</x:f>
        <x:v>2.4259523842473962</x:v>
      </x:c>
      <x:c r="Q259" s="17" t="n">
        <x:v>2.64146116356311</x:v>
      </x:c>
      <x:c r="R259" s="11" t="n">
        <x:f>Q259/P259</x:f>
        <x:v>1.0888347111489456</x:v>
      </x:c>
      <x:c r="S259" s="16" t="n">
        <x:f>COUNTIFS($R$8:$R$437,"&gt;"&amp;R259)+COUNTIFS($R$8:R259,R259)</x:f>
        <x:v>160</x:v>
      </x:c>
      <x:c r="T259" s="16" t="n">
        <x:f>IF(S259&lt;='Wyniki'!$B$6,1,0)</x:f>
        <x:v>0</x:v>
      </x:c>
    </x:row>
    <x:row r="260" ht="22" customHeight="1">
      <x:c r="A260" s="18" t="n">
        <x:v>253</x:v>
      </x:c>
      <x:c r="B260" s="17" t="n">
        <x:v>-1.6304908608129083</x:v>
      </x:c>
      <x:c r="C260" s="17" t="n">
        <x:v>-0.29892252936294905</x:v>
      </x:c>
      <x:c r="D260" s="18" t="n">
        <x:v>0</x:v>
      </x:c>
      <x:c r="E260" s="17" t="n">
        <x:v>0.6451788466253255</x:v>
      </x:c>
      <x:c r="F260" s="18" t="n">
        <x:v>10</x:v>
      </x:c>
      <x:c r="G260" s="17" t="n">
        <x:v>0.5375192410373659</x:v>
      </x:c>
      <x:c r="H260" s="11" t="n">
        <x:f>1/G260</x:f>
        <x:v>1.8603985190745655</x:v>
      </x:c>
      <x:c r="I260" s="17" t="n">
        <x:v>2.922033195509309</x:v>
      </x:c>
      <x:c r="J260" s="11" t="n">
        <x:f>I260/H260</x:f>
        <x:v>1.570649065536153</x:v>
      </x:c>
      <x:c r="K260" s="16" t="n">
        <x:f>COUNTIFS($J$8:$J$437,"&gt;"&amp;J260)+COUNTIFS($J$8:J260,J260)</x:f>
        <x:v>16</x:v>
      </x:c>
      <x:c r="L260" s="16" t="n">
        <x:f>IF(K260&lt;='Wyniki'!$B$6,1,0)</x:f>
        <x:v>1</x:v>
      </x:c>
      <x:c r="M260" s="17" t="n">
        <x:v>1.0077713444589518</x:v>
      </x:c>
      <x:c r="N260" s="18" t="n">
        <x:v>40</x:v>
      </x:c>
      <x:c r="O260" s="17" t="n">
        <x:v>0.8160363297891913</x:v>
      </x:c>
      <x:c r="P260" s="11" t="n">
        <x:f>1/O260</x:f>
        <x:v>1.225435637477479</x:v>
      </x:c>
      <x:c r="Q260" s="17" t="n">
        <x:v>2.060011948651075</x:v>
      </x:c>
      <x:c r="R260" s="11" t="n">
        <x:f>Q260/P260</x:f>
        <x:v>1.681044589899103</x:v>
      </x:c>
      <x:c r="S260" s="16" t="n">
        <x:f>COUNTIFS($R$8:$R$437,"&gt;"&amp;R260)+COUNTIFS($R$8:R260,R260)</x:f>
        <x:v>39</x:v>
      </x:c>
      <x:c r="T260" s="16" t="n">
        <x:f>IF(S260&lt;='Wyniki'!$B$6,1,0)</x:f>
        <x:v>0</x:v>
      </x:c>
    </x:row>
    <x:row r="261" ht="22" customHeight="1">
      <x:c r="A261" s="18" t="n">
        <x:v>254</x:v>
      </x:c>
      <x:c r="B261" s="17" t="n">
        <x:v>1.3312282567360714</x:v>
      </x:c>
      <x:c r="C261" s="17" t="n">
        <x:v>0.23918634930500607</x:v>
      </x:c>
      <x:c r="D261" s="18" t="n">
        <x:v>0</x:v>
      </x:c>
      <x:c r="E261" s="17" t="n">
        <x:v>0.4874550931289856</x:v>
      </x:c>
      <x:c r="F261" s="18" t="n">
        <x:v>10</x:v>
      </x:c>
      <x:c r="G261" s="17" t="n">
        <x:v>0.4214716614636371</x:v>
      </x:c>
      <x:c r="H261" s="11" t="n">
        <x:f>1/G261</x:f>
        <x:v>2.3726387594537623</x:v>
      </x:c>
      <x:c r="I261" s="17" t="n">
        <x:v>3.2640086661019994</x:v>
      </x:c>
      <x:c r="J261" s="11" t="n">
        <x:f>I261/H261</x:f>
        <x:v>1.3756871555337196</x:v>
      </x:c>
      <x:c r="K261" s="16" t="n">
        <x:f>COUNTIFS($J$8:$J$437,"&gt;"&amp;J261)+COUNTIFS($J$8:J261,J261)</x:f>
        <x:v>31</x:v>
      </x:c>
      <x:c r="L261" s="16" t="n">
        <x:f>IF(K261&lt;='Wyniki'!$B$6,1,0)</x:f>
        <x:v>0</x:v>
      </x:c>
      <x:c r="M261" s="17" t="n">
        <x:v>0.8305124778231812</x:v>
      </x:c>
      <x:c r="N261" s="18" t="n">
        <x:v>40</x:v>
      </x:c>
      <x:c r="O261" s="17" t="n">
        <x:v>0.6841682566038688</x:v>
      </x:c>
      <x:c r="P261" s="11" t="n">
        <x:f>1/O261</x:f>
        <x:v>1.4616287592234738</x:v>
      </x:c>
      <x:c r="Q261" s="17" t="n">
        <x:v>2.4199517997333837</x:v>
      </x:c>
      <x:c r="R261" s="11" t="n">
        <x:f>Q261/P261</x:f>
        <x:v>1.6556542038889839</x:v>
      </x:c>
      <x:c r="S261" s="16" t="n">
        <x:f>COUNTIFS($R$8:$R$437,"&gt;"&amp;R261)+COUNTIFS($R$8:R261,R261)</x:f>
        <x:v>40</x:v>
      </x:c>
      <x:c r="T261" s="16" t="n">
        <x:f>IF(S261&lt;='Wyniki'!$B$6,1,0)</x:f>
        <x:v>0</x:v>
      </x:c>
    </x:row>
    <x:row r="262" ht="22" customHeight="1">
      <x:c r="A262" s="18" t="n">
        <x:v>255</x:v>
      </x:c>
      <x:c r="B262" s="17" t="n">
        <x:v>-0.30776475732721925</x:v>
      </x:c>
      <x:c r="C262" s="17" t="n">
        <x:v>0.2557941152251685</x:v>
      </x:c>
      <x:c r="D262" s="18" t="n">
        <x:v>0</x:v>
      </x:c>
      <x:c r="E262" s="17" t="n">
        <x:v>0.12525392078326694</x:v>
      </x:c>
      <x:c r="F262" s="18" t="n">
        <x:v>10</x:v>
      </x:c>
      <x:c r="G262" s="17" t="n">
        <x:v>0.1326700994177063</x:v>
      </x:c>
      <x:c r="H262" s="11" t="n">
        <x:f>1/G262</x:f>
        <x:v>7.5374934095100175</x:v>
      </x:c>
      <x:c r="I262" s="17" t="n">
        <x:v>7.440021162995521</x:v>
      </x:c>
      <x:c r="J262" s="11" t="n">
        <x:f>I262/H262</x:f>
        <x:v>0.9870683473644546</x:v>
      </x:c>
      <x:c r="K262" s="16" t="n">
        <x:f>COUNTIFS($J$8:$J$437,"&gt;"&amp;J262)+COUNTIFS($J$8:J262,J262)</x:f>
        <x:v>358</x:v>
      </x:c>
      <x:c r="L262" s="16" t="n">
        <x:f>IF(K262&lt;='Wyniki'!$B$6,1,0)</x:f>
        <x:v>0</x:v>
      </x:c>
      <x:c r="M262" s="17" t="n">
        <x:v>0.2900873163387924</x:v>
      </x:c>
      <x:c r="N262" s="18" t="n">
        <x:v>40</x:v>
      </x:c>
      <x:c r="O262" s="17" t="n">
        <x:v>0.2936433612487345</x:v>
      </x:c>
      <x:c r="P262" s="11" t="n">
        <x:f>1/O262</x:f>
        <x:v>3.40549159956297</x:v>
      </x:c>
      <x:c r="Q262" s="17" t="n">
        <x:v>3.408095883008282</x:v>
      </x:c>
      <x:c r="R262" s="11" t="n">
        <x:f>Q262/P262</x:f>
        <x:v>1.0007647305445257</x:v>
      </x:c>
      <x:c r="S262" s="16" t="n">
        <x:f>COUNTIFS($R$8:$R$437,"&gt;"&amp;R262)+COUNTIFS($R$8:R262,R262)</x:f>
        <x:v>311</x:v>
      </x:c>
      <x:c r="T262" s="16" t="n">
        <x:f>IF(S262&lt;='Wyniki'!$B$6,1,0)</x:f>
        <x:v>0</x:v>
      </x:c>
    </x:row>
    <x:row r="263" ht="22" customHeight="1">
      <x:c r="A263" s="18" t="n">
        <x:v>256</x:v>
      </x:c>
      <x:c r="B263" s="17" t="n">
        <x:v>-0.8585270941469436</x:v>
      </x:c>
      <x:c r="C263" s="17" t="n">
        <x:v>-0.1635278494836995</x:v>
      </x:c>
      <x:c r="D263" s="18" t="n">
        <x:v>0</x:v>
      </x:c>
      <x:c r="E263" s="17" t="n">
        <x:v>0.17004111322229085</x:v>
      </x:c>
      <x:c r="F263" s="18" t="n">
        <x:v>10</x:v>
      </x:c>
      <x:c r="G263" s="17" t="n">
        <x:v>0.22504069201913318</x:v>
      </x:c>
      <x:c r="H263" s="11" t="n">
        <x:f>1/G263</x:f>
        <x:v>4.443640796816333</x:v>
      </x:c>
      <x:c r="I263" s="17" t="n">
        <x:v>4.566143042488404</x:v>
      </x:c>
      <x:c r="J263" s="11" t="n">
        <x:f>I263/H263</x:f>
        <x:v>1.0275679901399408</x:v>
      </x:c>
      <x:c r="K263" s="16" t="n">
        <x:f>COUNTIFS($J$8:$J$437,"&gt;"&amp;J263)+COUNTIFS($J$8:J263,J263)</x:f>
        <x:v>226</x:v>
      </x:c>
      <x:c r="L263" s="16" t="n">
        <x:f>IF(K263&lt;='Wyniki'!$B$6,1,0)</x:f>
        <x:v>0</x:v>
      </x:c>
      <x:c r="M263" s="17" t="n">
        <x:v>0.4066505569587372</x:v>
      </x:c>
      <x:c r="N263" s="18" t="n">
        <x:v>40</x:v>
      </x:c>
      <x:c r="O263" s="17" t="n">
        <x:v>0.4095828418287596</x:v>
      </x:c>
      <x:c r="P263" s="11" t="n">
        <x:f>1/O263</x:f>
        <x:v>2.441508524954483</x:v>
      </x:c>
      <x:c r="Q263" s="17" t="n">
        <x:v>2.5819754062584472</x:v>
      </x:c>
      <x:c r="R263" s="11" t="n">
        <x:f>Q263/P263</x:f>
        <x:v>1.0575328244273008</x:v>
      </x:c>
      <x:c r="S263" s="16" t="n">
        <x:f>COUNTIFS($R$8:$R$437,"&gt;"&amp;R263)+COUNTIFS($R$8:R263,R263)</x:f>
        <x:v>188</x:v>
      </x:c>
      <x:c r="T263" s="16" t="n">
        <x:f>IF(S263&lt;='Wyniki'!$B$6,1,0)</x:f>
        <x:v>0</x:v>
      </x:c>
    </x:row>
    <x:row r="264" ht="22" customHeight="1">
      <x:c r="A264" s="18" t="n">
        <x:v>257</x:v>
      </x:c>
      <x:c r="B264" s="17" t="n">
        <x:v>0.05471261015865617</x:v>
      </x:c>
      <x:c r="C264" s="17" t="n">
        <x:v>-0.04735535850157668</x:v>
      </x:c>
      <x:c r="D264" s="18" t="n">
        <x:v>0</x:v>
      </x:c>
      <x:c r="E264" s="17" t="n">
        <x:v>0.12753570088317756</x:v>
      </x:c>
      <x:c r="F264" s="18" t="n">
        <x:v>10</x:v>
      </x:c>
      <x:c r="G264" s="17" t="n">
        <x:v>0.12727721169286804</x:v>
      </x:c>
      <x:c r="H264" s="11" t="n">
        <x:f>1/G264</x:f>
        <x:v>7.856866022592439</x:v>
      </x:c>
      <x:c r="I264" s="17" t="n">
        <x:v>7.739911014840908</x:v>
      </x:c>
      <x:c r="J264" s="11" t="n">
        <x:f>I264/H264</x:f>
        <x:v>0.9851142927198674</x:v>
      </x:c>
      <x:c r="K264" s="16" t="n">
        <x:f>COUNTIFS($J$8:$J$437,"&gt;"&amp;J264)+COUNTIFS($J$8:J264,J264)</x:f>
        <x:v>365</x:v>
      </x:c>
      <x:c r="L264" s="16" t="n">
        <x:f>IF(K264&lt;='Wyniki'!$B$6,1,0)</x:f>
        <x:v>0</x:v>
      </x:c>
      <x:c r="M264" s="17" t="n">
        <x:v>0.25090932727049026</x:v>
      </x:c>
      <x:c r="N264" s="18" t="n">
        <x:v>40</x:v>
      </x:c>
      <x:c r="O264" s="17" t="n">
        <x:v>0.2595428335068262</x:v>
      </x:c>
      <x:c r="P264" s="11" t="n">
        <x:f>1/O264</x:f>
        <x:v>3.8529285763295755</x:v>
      </x:c>
      <x:c r="Q264" s="17" t="n">
        <x:v>3.7840645252963</x:v>
      </x:c>
      <x:c r="R264" s="11" t="n">
        <x:f>Q264/P264</x:f>
        <x:v>0.982126829068065</x:v>
      </x:c>
      <x:c r="S264" s="16" t="n">
        <x:f>COUNTIFS($R$8:$R$437,"&gt;"&amp;R264)+COUNTIFS($R$8:R264,R264)</x:f>
        <x:v>378</x:v>
      </x:c>
      <x:c r="T264" s="16" t="n">
        <x:f>IF(S264&lt;='Wyniki'!$B$6,1,0)</x:f>
        <x:v>0</x:v>
      </x:c>
    </x:row>
    <x:row r="265" ht="22" customHeight="1">
      <x:c r="A265" s="18" t="n">
        <x:v>258</x:v>
      </x:c>
      <x:c r="B265" s="17" t="n">
        <x:v>0.43494336692954433</x:v>
      </x:c>
      <x:c r="C265" s="17" t="n">
        <x:v>0.18955487442982882</x:v>
      </x:c>
      <x:c r="D265" s="18" t="n">
        <x:v>0</x:v>
      </x:c>
      <x:c r="E265" s="17" t="n">
        <x:v>0.09906077666510027</x:v>
      </x:c>
      <x:c r="F265" s="18" t="n">
        <x:v>10</x:v>
      </x:c>
      <x:c r="G265" s="17" t="n">
        <x:v>0.11355443820834828</x:v>
      </x:c>
      <x:c r="H265" s="11" t="n">
        <x:f>1/G265</x:f>
        <x:v>8.806348882332651</x:v>
      </x:c>
      <x:c r="I265" s="17" t="n">
        <x:v>8.530691626416784</x:v>
      </x:c>
      <x:c r="J265" s="11" t="n">
        <x:f>I265/H265</x:f>
        <x:v>0.9686978951664188</x:v>
      </x:c>
      <x:c r="K265" s="16" t="n">
        <x:f>COUNTIFS($J$8:$J$437,"&gt;"&amp;J265)+COUNTIFS($J$8:J265,J265)</x:f>
        <x:v>407</x:v>
      </x:c>
      <x:c r="L265" s="16" t="n">
        <x:f>IF(K265&lt;='Wyniki'!$B$6,1,0)</x:f>
        <x:v>0</x:v>
      </x:c>
      <x:c r="M265" s="17" t="n">
        <x:v>0.25329590465331014</x:v>
      </x:c>
      <x:c r="N265" s="18" t="n">
        <x:v>40</x:v>
      </x:c>
      <x:c r="O265" s="17" t="n">
        <x:v>0.27921071940976694</x:v>
      </x:c>
      <x:c r="P265" s="11" t="n">
        <x:f>1/O265</x:f>
        <x:v>3.5815243845721043</x:v>
      </x:c>
      <x:c r="Q265" s="17" t="n">
        <x:v>3.499708899363867</x:v>
      </x:c>
      <x:c r="R265" s="11" t="n">
        <x:f>Q265/P265</x:f>
        <x:v>0.9771562395161489</x:v>
      </x:c>
      <x:c r="S265" s="16" t="n">
        <x:f>COUNTIFS($R$8:$R$437,"&gt;"&amp;R265)+COUNTIFS($R$8:R265,R265)</x:f>
        <x:v>401</x:v>
      </x:c>
      <x:c r="T265" s="16" t="n">
        <x:f>IF(S265&lt;='Wyniki'!$B$6,1,0)</x:f>
        <x:v>0</x:v>
      </x:c>
    </x:row>
    <x:row r="266" ht="22" customHeight="1">
      <x:c r="A266" s="18" t="n">
        <x:v>259</x:v>
      </x:c>
      <x:c r="B266" s="17" t="n">
        <x:v>0.36757930995939836</x:v>
      </x:c>
      <x:c r="C266" s="17" t="n">
        <x:v>-0.3786047552269177</x:v>
      </x:c>
      <x:c r="D266" s="18" t="n">
        <x:v>0</x:v>
      </x:c>
      <x:c r="E266" s="17" t="n">
        <x:v>0.1899335758030383</x:v>
      </x:c>
      <x:c r="F266" s="18" t="n">
        <x:v>10</x:v>
      </x:c>
      <x:c r="G266" s="17" t="n">
        <x:v>0.1707679573488368</x:v>
      </x:c>
      <x:c r="H266" s="11" t="n">
        <x:f>1/G266</x:f>
        <x:v>5.855899523101086</x:v>
      </x:c>
      <x:c r="I266" s="17" t="n">
        <x:v>6.347525705306783</x:v>
      </x:c>
      <x:c r="J266" s="11" t="n">
        <x:f>I266/H266</x:f>
        <x:v>1.083953998914474</x:v>
      </x:c>
      <x:c r="K266" s="16" t="n">
        <x:f>COUNTIFS($J$8:$J$437,"&gt;"&amp;J266)+COUNTIFS($J$8:J266,J266)</x:f>
        <x:v>136</x:v>
      </x:c>
      <x:c r="L266" s="16" t="n">
        <x:f>IF(K266&lt;='Wyniki'!$B$6,1,0)</x:f>
        <x:v>0</x:v>
      </x:c>
      <x:c r="M266" s="17" t="n">
        <x:v>0.3256879748152497</x:v>
      </x:c>
      <x:c r="N266" s="18" t="n">
        <x:v>40</x:v>
      </x:c>
      <x:c r="O266" s="17" t="n">
        <x:v>0.3305605765125619</x:v>
      </x:c>
      <x:c r="P266" s="11" t="n">
        <x:f>1/O266</x:f>
        <x:v>3.0251641334549713</x:v>
      </x:c>
      <x:c r="Q266" s="17" t="n">
        <x:v>3.178548991428596</x:v>
      </x:c>
      <x:c r="R266" s="11" t="n">
        <x:f>Q266/P266</x:f>
        <x:v>1.0507029870800588</x:v>
      </x:c>
      <x:c r="S266" s="16" t="n">
        <x:f>COUNTIFS($R$8:$R$437,"&gt;"&amp;R266)+COUNTIFS($R$8:R266,R266)</x:f>
        <x:v>197</x:v>
      </x:c>
      <x:c r="T266" s="16" t="n">
        <x:f>IF(S266&lt;='Wyniki'!$B$6,1,0)</x:f>
        <x:v>0</x:v>
      </x:c>
    </x:row>
    <x:row r="267" ht="22" customHeight="1">
      <x:c r="A267" s="18" t="n">
        <x:v>260</x:v>
      </x:c>
      <x:c r="B267" s="17" t="n">
        <x:v>0.4937984746258015</x:v>
      </x:c>
      <x:c r="C267" s="17" t="n">
        <x:v>0.8959153211931954</x:v>
      </x:c>
      <x:c r="D267" s="18" t="n">
        <x:v>0</x:v>
      </x:c>
      <x:c r="E267" s="17" t="n">
        <x:v>0.31793368561434043</x:v>
      </x:c>
      <x:c r="F267" s="18" t="n">
        <x:v>10</x:v>
      </x:c>
      <x:c r="G267" s="17" t="n">
        <x:v>0.28697492520092394</x:v>
      </x:c>
      <x:c r="H267" s="11" t="n">
        <x:f>1/G267</x:f>
        <x:v>3.4846250044315035</x:v>
      </x:c>
      <x:c r="I267" s="17" t="n">
        <x:v>4.292451761799184</x:v>
      </x:c>
      <x:c r="J267" s="11" t="n">
        <x:f>I267/H267</x:f>
        <x:v>1.231826023270895</x:v>
      </x:c>
      <x:c r="K267" s="16" t="n">
        <x:f>COUNTIFS($J$8:$J$437,"&gt;"&amp;J267)+COUNTIFS($J$8:J267,J267)</x:f>
        <x:v>57</x:v>
      </x:c>
      <x:c r="L267" s="16" t="n">
        <x:f>IF(K267&lt;='Wyniki'!$B$6,1,0)</x:f>
        <x:v>0</x:v>
      </x:c>
      <x:c r="M267" s="17" t="n">
        <x:v>0.5524765875057625</x:v>
      </x:c>
      <x:c r="N267" s="18" t="n">
        <x:v>40</x:v>
      </x:c>
      <x:c r="O267" s="17" t="n">
        <x:v>0.48855181258413405</x:v>
      </x:c>
      <x:c r="P267" s="11" t="n">
        <x:f>1/O267</x:f>
        <x:v>2.0468658067414065</x:v>
      </x:c>
      <x:c r="Q267" s="17" t="n">
        <x:v>2.583636533493192</x:v>
      </x:c>
      <x:c r="R267" s="11" t="n">
        <x:f>Q267/P267</x:f>
        <x:v>1.2622403114966878</x:v>
      </x:c>
      <x:c r="S267" s="16" t="n">
        <x:f>COUNTIFS($R$8:$R$437,"&gt;"&amp;R267)+COUNTIFS($R$8:R267,R267)</x:f>
        <x:v>93</x:v>
      </x:c>
      <x:c r="T267" s="16" t="n">
        <x:f>IF(S267&lt;='Wyniki'!$B$6,1,0)</x:f>
        <x:v>0</x:v>
      </x:c>
    </x:row>
    <x:row r="268" ht="22" customHeight="1">
      <x:c r="A268" s="18" t="n">
        <x:v>261</x:v>
      </x:c>
      <x:c r="B268" s="17" t="n">
        <x:v>-0.533582235808277</x:v>
      </x:c>
      <x:c r="C268" s="17" t="n">
        <x:v>-0.48823261064300794</x:v>
      </x:c>
      <x:c r="D268" s="18" t="n">
        <x:v>0</x:v>
      </x:c>
      <x:c r="E268" s="17" t="n">
        <x:v>0.16807375742417052</x:v>
      </x:c>
      <x:c r="F268" s="18" t="n">
        <x:v>10</x:v>
      </x:c>
      <x:c r="G268" s="17" t="n">
        <x:v>0.18117519708300472</x:v>
      </x:c>
      <x:c r="H268" s="11" t="n">
        <x:f>1/G268</x:f>
        <x:v>5.519519316663715</x:v>
      </x:c>
      <x:c r="I268" s="17" t="n">
        <x:v>5.537649509178216</x:v>
      </x:c>
      <x:c r="J268" s="11" t="n">
        <x:f>I268/H268</x:f>
        <x:v>1.0032847412019676</x:v>
      </x:c>
      <x:c r="K268" s="16" t="n">
        <x:f>COUNTIFS($J$8:$J$437,"&gt;"&amp;J268)+COUNTIFS($J$8:J268,J268)</x:f>
        <x:v>294</x:v>
      </x:c>
      <x:c r="L268" s="16" t="n">
        <x:f>IF(K268&lt;='Wyniki'!$B$6,1,0)</x:f>
        <x:v>0</x:v>
      </x:c>
      <x:c r="M268" s="17" t="n">
        <x:v>0.35091397999871815</x:v>
      </x:c>
      <x:c r="N268" s="18" t="n">
        <x:v>40</x:v>
      </x:c>
      <x:c r="O268" s="17" t="n">
        <x:v>0.3672010879073197</x:v>
      </x:c>
      <x:c r="P268" s="11" t="n">
        <x:f>1/O268</x:f>
        <x:v>2.7233034784809695</x:v>
      </x:c>
      <x:c r="Q268" s="17" t="n">
        <x:v>2.7498162750094286</x:v>
      </x:c>
      <x:c r="R268" s="11" t="n">
        <x:f>Q268/P268</x:f>
        <x:v>1.0097355277287157</x:v>
      </x:c>
      <x:c r="S268" s="16" t="n">
        <x:f>COUNTIFS($R$8:$R$437,"&gt;"&amp;R268)+COUNTIFS($R$8:R268,R268)</x:f>
        <x:v>270</x:v>
      </x:c>
      <x:c r="T268" s="16" t="n">
        <x:f>IF(S268&lt;='Wyniki'!$B$6,1,0)</x:f>
        <x:v>0</x:v>
      </x:c>
    </x:row>
    <x:row r="269" ht="22" customHeight="1">
      <x:c r="A269" s="18" t="n">
        <x:v>262</x:v>
      </x:c>
      <x:c r="B269" s="17" t="n">
        <x:v>0.7346813849761281</x:v>
      </x:c>
      <x:c r="C269" s="17" t="n">
        <x:v>-0.10523919268228317</x:v>
      </x:c>
      <x:c r="D269" s="18" t="n">
        <x:v>0</x:v>
      </x:c>
      <x:c r="E269" s="17" t="n">
        <x:v>0.21236398406179494</x:v>
      </x:c>
      <x:c r="F269" s="18" t="n">
        <x:v>10</x:v>
      </x:c>
      <x:c r="G269" s="17" t="n">
        <x:v>0.21637707556120853</x:v>
      </x:c>
      <x:c r="H269" s="11" t="n">
        <x:f>1/G269</x:f>
        <x:v>4.621561676098728</x:v>
      </x:c>
      <x:c r="I269" s="17" t="n">
        <x:v>4.885252032979132</x:v>
      </x:c>
      <x:c r="J269" s="11" t="n">
        <x:f>I269/H269</x:f>
        <x:v>1.0570565482754732</x:v>
      </x:c>
      <x:c r="K269" s="16" t="n">
        <x:f>COUNTIFS($J$8:$J$437,"&gt;"&amp;J269)+COUNTIFS($J$8:J269,J269)</x:f>
        <x:v>165</x:v>
      </x:c>
      <x:c r="L269" s="16" t="n">
        <x:f>IF(K269&lt;='Wyniki'!$B$6,1,0)</x:f>
        <x:v>0</x:v>
      </x:c>
      <x:c r="M269" s="17" t="n">
        <x:v>0.3969203853068438</x:v>
      </x:c>
      <x:c r="N269" s="18" t="n">
        <x:v>40</x:v>
      </x:c>
      <x:c r="O269" s="17" t="n">
        <x:v>0.38117041783997446</x:v>
      </x:c>
      <x:c r="P269" s="11" t="n">
        <x:f>1/O269</x:f>
        <x:v>2.6234984489793924</x:v>
      </x:c>
      <x:c r="Q269" s="17" t="n">
        <x:v>2.960558355402905</x:v>
      </x:c>
      <x:c r="R269" s="11" t="n">
        <x:f>Q269/P269</x:f>
        <x:v>1.128477265368553</x:v>
      </x:c>
      <x:c r="S269" s="16" t="n">
        <x:f>COUNTIFS($R$8:$R$437,"&gt;"&amp;R269)+COUNTIFS($R$8:R269,R269)</x:f>
        <x:v>137</x:v>
      </x:c>
      <x:c r="T269" s="16" t="n">
        <x:f>IF(S269&lt;='Wyniki'!$B$6,1,0)</x:f>
        <x:v>0</x:v>
      </x:c>
    </x:row>
    <x:row r="270" ht="22" customHeight="1">
      <x:c r="A270" s="18" t="n">
        <x:v>263</x:v>
      </x:c>
      <x:c r="B270" s="17" t="n">
        <x:v>0.7721017656366064</x:v>
      </x:c>
      <x:c r="C270" s="17" t="n">
        <x:v>-0.24339464154070115</x:v>
      </x:c>
      <x:c r="D270" s="18" t="n">
        <x:v>0</x:v>
      </x:c>
      <x:c r="E270" s="17" t="n">
        <x:v>0.2277545106662322</x:v>
      </x:c>
      <x:c r="F270" s="18" t="n">
        <x:v>10</x:v>
      </x:c>
      <x:c r="G270" s="17" t="n">
        <x:v>0.22638646782077268</x:v>
      </x:c>
      <x:c r="H270" s="11" t="n">
        <x:f>1/G270</x:f>
        <x:v>4.41722515319108</x:v>
      </x:c>
      <x:c r="I270" s="17" t="n">
        <x:v>4.638143644366055</x:v>
      </x:c>
      <x:c r="J270" s="11" t="n">
        <x:f>I270/H270</x:f>
        <x:v>1.0500129568933974</x:v>
      </x:c>
      <x:c r="K270" s="16" t="n">
        <x:f>COUNTIFS($J$8:$J$437,"&gt;"&amp;J270)+COUNTIFS($J$8:J270,J270)</x:f>
        <x:v>178</x:v>
      </x:c>
      <x:c r="L270" s="16" t="n">
        <x:f>IF(K270&lt;='Wyniki'!$B$6,1,0)</x:f>
        <x:v>0</x:v>
      </x:c>
      <x:c r="M270" s="17" t="n">
        <x:v>0.43979097712683923</x:v>
      </x:c>
      <x:c r="N270" s="18" t="n">
        <x:v>40</x:v>
      </x:c>
      <x:c r="O270" s="17" t="n">
        <x:v>0.4362816577330427</x:v>
      </x:c>
      <x:c r="P270" s="11" t="n">
        <x:f>1/O270</x:f>
        <x:v>2.292097277699197</x:v>
      </x:c>
      <x:c r="Q270" s="17" t="n">
        <x:v>2.6665928296497534</x:v>
      </x:c>
      <x:c r="R270" s="11" t="n">
        <x:f>Q270/P270</x:f>
        <x:v>1.1633855402186395</x:v>
      </x:c>
      <x:c r="S270" s="16" t="n">
        <x:f>COUNTIFS($R$8:$R$437,"&gt;"&amp;R270)+COUNTIFS($R$8:R270,R270)</x:f>
        <x:v>126</x:v>
      </x:c>
      <x:c r="T270" s="16" t="n">
        <x:f>IF(S270&lt;='Wyniki'!$B$6,1,0)</x:f>
        <x:v>0</x:v>
      </x:c>
    </x:row>
    <x:row r="271" ht="22" customHeight="1">
      <x:c r="A271" s="18" t="n">
        <x:v>264</x:v>
      </x:c>
      <x:c r="B271" s="17" t="n">
        <x:v>0.8002750669488913</x:v>
      </x:c>
      <x:c r="C271" s="17" t="n">
        <x:v>0.0723171992429987</x:v>
      </x:c>
      <x:c r="D271" s="18" t="n">
        <x:v>0</x:v>
      </x:c>
      <x:c r="E271" s="17" t="n">
        <x:v>0.22602317471966232</x:v>
      </x:c>
      <x:c r="F271" s="18" t="n">
        <x:v>10</x:v>
      </x:c>
      <x:c r="G271" s="17" t="n">
        <x:v>0.22022544898525873</x:v>
      </x:c>
      <x:c r="H271" s="11" t="n">
        <x:f>1/G271</x:f>
        <x:v>4.540801277090084</x:v>
      </x:c>
      <x:c r="I271" s="17" t="n">
        <x:v>4.943893859171559</x:v>
      </x:c>
      <x:c r="J271" s="11" t="n">
        <x:f>I271/H271</x:f>
        <x:v>1.0887712448715199</x:v>
      </x:c>
      <x:c r="K271" s="16" t="n">
        <x:f>COUNTIFS($J$8:$J$437,"&gt;"&amp;J271)+COUNTIFS($J$8:J271,J271)</x:f>
        <x:v>130</x:v>
      </x:c>
      <x:c r="L271" s="16" t="n">
        <x:f>IF(K271&lt;='Wyniki'!$B$6,1,0)</x:f>
        <x:v>0</x:v>
      </x:c>
      <x:c r="M271" s="17" t="n">
        <x:v>0.4102170652719901</x:v>
      </x:c>
      <x:c r="N271" s="18" t="n">
        <x:v>40</x:v>
      </x:c>
      <x:c r="O271" s="17" t="n">
        <x:v>0.39932572558439566</x:v>
      </x:c>
      <x:c r="P271" s="11" t="n">
        <x:f>1/O271</x:f>
        <x:v>2.504221330936152</x:v>
      </x:c>
      <x:c r="Q271" s="17" t="n">
        <x:v>2.8321597437135444</x:v>
      </x:c>
      <x:c r="R271" s="11" t="n">
        <x:f>Q271/P271</x:f>
        <x:v>1.1309542446293273</x:v>
      </x:c>
      <x:c r="S271" s="16" t="n">
        <x:f>COUNTIFS($R$8:$R$437,"&gt;"&amp;R271)+COUNTIFS($R$8:R271,R271)</x:f>
        <x:v>135</x:v>
      </x:c>
      <x:c r="T271" s="16" t="n">
        <x:f>IF(S271&lt;='Wyniki'!$B$6,1,0)</x:f>
        <x:v>0</x:v>
      </x:c>
    </x:row>
    <x:row r="272" ht="22" customHeight="1">
      <x:c r="A272" s="18" t="n">
        <x:v>265</x:v>
      </x:c>
      <x:c r="B272" s="17" t="n">
        <x:v>0.14202585282748237</x:v>
      </x:c>
      <x:c r="C272" s="17" t="n">
        <x:v>0.8605949119184475</x:v>
      </x:c>
      <x:c r="D272" s="18" t="n">
        <x:v>0</x:v>
      </x:c>
      <x:c r="E272" s="17" t="n">
        <x:v>0.1983136029788743</x:v>
      </x:c>
      <x:c r="F272" s="18" t="n">
        <x:v>10</x:v>
      </x:c>
      <x:c r="G272" s="17" t="n">
        <x:v>0.16795401474536548</x:v>
      </x:c>
      <x:c r="H272" s="11" t="n">
        <x:f>1/G272</x:f>
        <x:v>5.954010694630293</x:v>
      </x:c>
      <x:c r="I272" s="17" t="n">
        <x:v>5.90292620909201</x:v>
      </x:c>
      <x:c r="J272" s="11" t="n">
        <x:f>I272/H272</x:f>
        <x:v>0.9914201555626438</x:v>
      </x:c>
      <x:c r="K272" s="16" t="n">
        <x:f>COUNTIFS($J$8:$J$437,"&gt;"&amp;J272)+COUNTIFS($J$8:J272,J272)</x:f>
        <x:v>345</x:v>
      </x:c>
      <x:c r="L272" s="16" t="n">
        <x:f>IF(K272&lt;='Wyniki'!$B$6,1,0)</x:f>
        <x:v>0</x:v>
      </x:c>
      <x:c r="M272" s="17" t="n">
        <x:v>0.44651069038966923</x:v>
      </x:c>
      <x:c r="N272" s="18" t="n">
        <x:v>40</x:v>
      </x:c>
      <x:c r="O272" s="17" t="n">
        <x:v>0.4394621094147514</x:v>
      </x:c>
      <x:c r="P272" s="11" t="n">
        <x:f>1/O272</x:f>
        <x:v>2.275509033831696</x:v>
      </x:c>
      <x:c r="Q272" s="17" t="n">
        <x:v>2.5219598646852894</x:v>
      </x:c>
      <x:c r="R272" s="11" t="n">
        <x:f>Q272/P272</x:f>
        <x:v>1.1083058019939382</x:v>
      </x:c>
      <x:c r="S272" s="16" t="n">
        <x:f>COUNTIFS($R$8:$R$437,"&gt;"&amp;R272)+COUNTIFS($R$8:R272,R272)</x:f>
        <x:v>148</x:v>
      </x:c>
      <x:c r="T272" s="16" t="n">
        <x:f>IF(S272&lt;='Wyniki'!$B$6,1,0)</x:f>
        <x:v>0</x:v>
      </x:c>
    </x:row>
    <x:row r="273" ht="22" customHeight="1">
      <x:c r="A273" s="18" t="n">
        <x:v>266</x:v>
      </x:c>
      <x:c r="B273" s="17" t="n">
        <x:v>-0.1989737625942942</x:v>
      </x:c>
      <x:c r="C273" s="17" t="n">
        <x:v>-0.5176171527587271</x:v>
      </x:c>
      <x:c r="D273" s="18" t="n">
        <x:v>0</x:v>
      </x:c>
      <x:c r="E273" s="17" t="n">
        <x:v>0.15396283705801733</x:v>
      </x:c>
      <x:c r="F273" s="18" t="n">
        <x:v>10</x:v>
      </x:c>
      <x:c r="G273" s="17" t="n">
        <x:v>0.14992143694824459</x:v>
      </x:c>
      <x:c r="H273" s="11" t="n">
        <x:f>1/G273</x:f>
        <x:v>6.670160187600236</x:v>
      </x:c>
      <x:c r="I273" s="17" t="n">
        <x:v>6.516083197815741</x:v>
      </x:c>
      <x:c r="J273" s="11" t="n">
        <x:f>I273/H273</x:f>
        <x:v>0.9769005562908485</x:v>
      </x:c>
      <x:c r="K273" s="16" t="n">
        <x:f>COUNTIFS($J$8:$J$437,"&gt;"&amp;J273)+COUNTIFS($J$8:J273,J273)</x:f>
        <x:v>390</x:v>
      </x:c>
      <x:c r="L273" s="16" t="n">
        <x:f>IF(K273&lt;='Wyniki'!$B$6,1,0)</x:f>
        <x:v>0</x:v>
      </x:c>
      <x:c r="M273" s="17" t="n">
        <x:v>0.30639454262290045</x:v>
      </x:c>
      <x:c r="N273" s="18" t="n">
        <x:v>40</x:v>
      </x:c>
      <x:c r="O273" s="17" t="n">
        <x:v>0.3348660145511556</x:v>
      </x:c>
      <x:c r="P273" s="11" t="n">
        <x:f>1/O273</x:f>
        <x:v>2.986269004755141</x:v>
      </x:c>
      <x:c r="Q273" s="17" t="n">
        <x:v>2.9610537572340707</x:v>
      </x:c>
      <x:c r="R273" s="11" t="n">
        <x:f>Q273/P273</x:f>
        <x:v>0.9915562705566984</x:v>
      </x:c>
      <x:c r="S273" s="16" t="n">
        <x:f>COUNTIFS($R$8:$R$437,"&gt;"&amp;R273)+COUNTIFS($R$8:R273,R273)</x:f>
        <x:v>341</x:v>
      </x:c>
      <x:c r="T273" s="16" t="n">
        <x:f>IF(S273&lt;='Wyniki'!$B$6,1,0)</x:f>
        <x:v>0</x:v>
      </x:c>
    </x:row>
    <x:row r="274" ht="22" customHeight="1">
      <x:c r="A274" s="18" t="n">
        <x:v>267</x:v>
      </x:c>
      <x:c r="B274" s="17" t="n">
        <x:v>-0.2467103144155949</x:v>
      </x:c>
      <x:c r="C274" s="17" t="n">
        <x:v>0.2487836728537263</x:v>
      </x:c>
      <x:c r="D274" s="18" t="n">
        <x:v>0</x:v>
      </x:c>
      <x:c r="E274" s="17" t="n">
        <x:v>0.14471488344868316</x:v>
      </x:c>
      <x:c r="F274" s="18" t="n">
        <x:v>10</x:v>
      </x:c>
      <x:c r="G274" s="17" t="n">
        <x:v>0.1262989968466904</x:v>
      </x:c>
      <x:c r="H274" s="11" t="n">
        <x:f>1/G274</x:f>
        <x:v>7.91771926117404</x:v>
      </x:c>
      <x:c r="I274" s="17" t="n">
        <x:v>7.740989145376264</x:v>
      </x:c>
      <x:c r="J274" s="11" t="n">
        <x:f>I274/H274</x:f>
        <x:v>0.9776791636621415</x:v>
      </x:c>
      <x:c r="K274" s="16" t="n">
        <x:f>COUNTIFS($J$8:$J$437,"&gt;"&amp;J274)+COUNTIFS($J$8:J274,J274)</x:f>
        <x:v>388</x:v>
      </x:c>
      <x:c r="L274" s="16" t="n">
        <x:f>IF(K274&lt;='Wyniki'!$B$6,1,0)</x:f>
        <x:v>0</x:v>
      </x:c>
      <x:c r="M274" s="17" t="n">
        <x:v>0.2763150957484967</x:v>
      </x:c>
      <x:c r="N274" s="18" t="n">
        <x:v>40</x:v>
      </x:c>
      <x:c r="O274" s="17" t="n">
        <x:v>0.2901596543500772</x:v>
      </x:c>
      <x:c r="P274" s="11" t="n">
        <x:f>1/O274</x:f>
        <x:v>3.4463785195770242</x:v>
      </x:c>
      <x:c r="Q274" s="17" t="n">
        <x:v>3.4325013575459122</x:v>
      </x:c>
      <x:c r="R274" s="11" t="n">
        <x:f>Q274/P274</x:f>
        <x:v>0.9959734074616925</x:v>
      </x:c>
      <x:c r="S274" s="16" t="n">
        <x:f>COUNTIFS($R$8:$R$437,"&gt;"&amp;R274)+COUNTIFS($R$8:R274,R274)</x:f>
        <x:v>326</x:v>
      </x:c>
      <x:c r="T274" s="16" t="n">
        <x:f>IF(S274&lt;='Wyniki'!$B$6,1,0)</x:f>
        <x:v>0</x:v>
      </x:c>
    </x:row>
    <x:row r="275" ht="22" customHeight="1">
      <x:c r="A275" s="18" t="n">
        <x:v>268</x:v>
      </x:c>
      <x:c r="B275" s="17" t="n">
        <x:v>-0.8611674896992829</x:v>
      </x:c>
      <x:c r="C275" s="17" t="n">
        <x:v>0.35060899645811683</x:v>
      </x:c>
      <x:c r="D275" s="18" t="n">
        <x:v>0</x:v>
      </x:c>
      <x:c r="E275" s="17" t="n">
        <x:v>0.2914927930025401</x:v>
      </x:c>
      <x:c r="F275" s="18" t="n">
        <x:v>10</x:v>
      </x:c>
      <x:c r="G275" s="17" t="n">
        <x:v>0.25533414926771447</x:v>
      </x:c>
      <x:c r="H275" s="11" t="n">
        <x:f>1/G275</x:f>
        <x:v>3.9164365709324422</x:v>
      </x:c>
      <x:c r="I275" s="17" t="n">
        <x:v>4.459176699494953</x:v>
      </x:c>
      <x:c r="J275" s="11" t="n">
        <x:f>I275/H275</x:f>
        <x:v>1.1385800889999587</x:v>
      </x:c>
      <x:c r="K275" s="16" t="n">
        <x:f>COUNTIFS($J$8:$J$437,"&gt;"&amp;J275)+COUNTIFS($J$8:J275,J275)</x:f>
        <x:v>89</x:v>
      </x:c>
      <x:c r="L275" s="16" t="n">
        <x:f>IF(K275&lt;='Wyniki'!$B$6,1,0)</x:f>
        <x:v>0</x:v>
      </x:c>
      <x:c r="M275" s="17" t="n">
        <x:v>0.520055273428464</x:v>
      </x:c>
      <x:c r="N275" s="18" t="n">
        <x:v>40</x:v>
      </x:c>
      <x:c r="O275" s="17" t="n">
        <x:v>0.4766233500359613</x:v>
      </x:c>
      <x:c r="P275" s="11" t="n">
        <x:f>1/O275</x:f>
        <x:v>2.098092760089387</x:v>
      </x:c>
      <x:c r="Q275" s="17" t="n">
        <x:v>2.5565416207240816</x:v>
      </x:c>
      <x:c r="R275" s="11" t="n">
        <x:f>Q275/P275</x:f>
        <x:v>1.2185074317758777</x:v>
      </x:c>
      <x:c r="S275" s="16" t="n">
        <x:f>COUNTIFS($R$8:$R$437,"&gt;"&amp;R275)+COUNTIFS($R$8:R275,R275)</x:f>
        <x:v>107</x:v>
      </x:c>
      <x:c r="T275" s="16" t="n">
        <x:f>IF(S275&lt;='Wyniki'!$B$6,1,0)</x:f>
        <x:v>0</x:v>
      </x:c>
    </x:row>
    <x:row r="276" ht="22" customHeight="1">
      <x:c r="A276" s="18" t="n">
        <x:v>269</x:v>
      </x:c>
      <x:c r="B276" s="17" t="n">
        <x:v>-0.2963242246897588</x:v>
      </x:c>
      <x:c r="C276" s="17" t="n">
        <x:v>0.63129696340346</x:v>
      </x:c>
      <x:c r="D276" s="18" t="n">
        <x:v>0</x:v>
      </x:c>
      <x:c r="E276" s="17" t="n">
        <x:v>0.19255591921260604</x:v>
      </x:c>
      <x:c r="F276" s="18" t="n">
        <x:v>10</x:v>
      </x:c>
      <x:c r="G276" s="17" t="n">
        <x:v>0.19636624751372106</x:v>
      </x:c>
      <x:c r="H276" s="11" t="n">
        <x:f>1/G276</x:f>
        <x:v>5.092524874622994</x:v>
      </x:c>
      <x:c r="I276" s="17" t="n">
        <x:v>5.262970602472124</x:v>
      </x:c>
      <x:c r="J276" s="11" t="n">
        <x:f>I276/H276</x:f>
        <x:v>1.0334697879824786</x:v>
      </x:c>
      <x:c r="K276" s="16" t="n">
        <x:f>COUNTIFS($J$8:$J$437,"&gt;"&amp;J276)+COUNTIFS($J$8:J276,J276)</x:f>
        <x:v>208</x:v>
      </x:c>
      <x:c r="L276" s="16" t="n">
        <x:f>IF(K276&lt;='Wyniki'!$B$6,1,0)</x:f>
        <x:v>0</x:v>
      </x:c>
      <x:c r="M276" s="17" t="n">
        <x:v>0.41460877909368354</x:v>
      </x:c>
      <x:c r="N276" s="18" t="n">
        <x:v>40</x:v>
      </x:c>
      <x:c r="O276" s="17" t="n">
        <x:v>0.3816624298927855</x:v>
      </x:c>
      <x:c r="P276" s="11" t="n">
        <x:f>1/O276</x:f>
        <x:v>2.6201164214169954</x:v>
      </x:c>
      <x:c r="Q276" s="17" t="n">
        <x:v>2.8917822523944556</x:v>
      </x:c>
      <x:c r="R276" s="11" t="n">
        <x:f>Q276/P276</x:f>
        <x:v>1.1036846411697003</x:v>
      </x:c>
      <x:c r="S276" s="16" t="n">
        <x:f>COUNTIFS($R$8:$R$437,"&gt;"&amp;R276)+COUNTIFS($R$8:R276,R276)</x:f>
        <x:v>153</x:v>
      </x:c>
      <x:c r="T276" s="16" t="n">
        <x:f>IF(S276&lt;='Wyniki'!$B$6,1,0)</x:f>
        <x:v>0</x:v>
      </x:c>
    </x:row>
    <x:row r="277" ht="22" customHeight="1">
      <x:c r="A277" s="18" t="n">
        <x:v>270</x:v>
      </x:c>
      <x:c r="B277" s="17" t="n">
        <x:v>-1.3168431676952594</x:v>
      </x:c>
      <x:c r="C277" s="17" t="n">
        <x:v>-0.43261117630729284</x:v>
      </x:c>
      <x:c r="D277" s="18" t="n">
        <x:v>0</x:v>
      </x:c>
      <x:c r="E277" s="17" t="n">
        <x:v>0.428840034202278</x:v>
      </x:c>
      <x:c r="F277" s="18" t="n">
        <x:v>10</x:v>
      </x:c>
      <x:c r="G277" s="17" t="n">
        <x:v>0.4323477882019625</x:v>
      </x:c>
      <x:c r="H277" s="11" t="n">
        <x:f>1/G277</x:f>
        <x:v>2.312952736866715</x:v>
      </x:c>
      <x:c r="I277" s="17" t="n">
        <x:v>3.0639501024398834</x:v>
      </x:c>
      <x:c r="J277" s="11" t="n">
        <x:f>I277/H277</x:f>
        <x:v>1.3246920499510602</x:v>
      </x:c>
      <x:c r="K277" s="16" t="n">
        <x:f>COUNTIFS($J$8:$J$437,"&gt;"&amp;J277)+COUNTIFS($J$8:J277,J277)</x:f>
        <x:v>39</x:v>
      </x:c>
      <x:c r="L277" s="16" t="n">
        <x:f>IF(K277&lt;='Wyniki'!$B$6,1,0)</x:f>
        <x:v>0</x:v>
      </x:c>
      <x:c r="M277" s="17" t="n">
        <x:v>0.7460415880211355</x:v>
      </x:c>
      <x:c r="N277" s="18" t="n">
        <x:v>40</x:v>
      </x:c>
      <x:c r="O277" s="17" t="n">
        <x:v>0.6419697497458443</x:v>
      </x:c>
      <x:c r="P277" s="11" t="n">
        <x:f>1/O277</x:f>
        <x:v>1.557705795944279</x:v>
      </x:c>
      <x:c r="Q277" s="17" t="n">
        <x:v>2.1042065933813547</x:v>
      </x:c>
      <x:c r="R277" s="11" t="n">
        <x:f>Q277/P277</x:f>
        <x:v>1.3508369801665838</x:v>
      </x:c>
      <x:c r="S277" s="16" t="n">
        <x:f>COUNTIFS($R$8:$R$437,"&gt;"&amp;R277)+COUNTIFS($R$8:R277,R277)</x:f>
        <x:v>71</x:v>
      </x:c>
      <x:c r="T277" s="16" t="n">
        <x:f>IF(S277&lt;='Wyniki'!$B$6,1,0)</x:f>
        <x:v>0</x:v>
      </x:c>
    </x:row>
    <x:row r="278" ht="22" customHeight="1">
      <x:c r="A278" s="18" t="n">
        <x:v>271</x:v>
      </x:c>
      <x:c r="B278" s="17" t="n">
        <x:v>-0.9275574831787562</x:v>
      </x:c>
      <x:c r="C278" s="17" t="n">
        <x:v>-0.45442620650017396</x:v>
      </x:c>
      <x:c r="D278" s="18" t="n">
        <x:v>0</x:v>
      </x:c>
      <x:c r="E278" s="17" t="n">
        <x:v>0.2813705864696771</x:v>
      </x:c>
      <x:c r="F278" s="18" t="n">
        <x:v>10</x:v>
      </x:c>
      <x:c r="G278" s="17" t="n">
        <x:v>0.2484342125669618</x:v>
      </x:c>
      <x:c r="H278" s="11" t="n">
        <x:f>1/G278</x:f>
        <x:v>4.025210496040132</x:v>
      </x:c>
      <x:c r="I278" s="17" t="n">
        <x:v>4.3651348694596415</x:v>
      </x:c>
      <x:c r="J278" s="11" t="n">
        <x:f>I278/H278</x:f>
        <x:v>1.0844488440427937</x:v>
      </x:c>
      <x:c r="K278" s="16" t="n">
        <x:f>COUNTIFS($J$8:$J$437,"&gt;"&amp;J278)+COUNTIFS($J$8:J278,J278)</x:f>
        <x:v>135</x:v>
      </x:c>
      <x:c r="L278" s="16" t="n">
        <x:f>IF(K278&lt;='Wyniki'!$B$6,1,0)</x:f>
        <x:v>0</x:v>
      </x:c>
      <x:c r="M278" s="17" t="n">
        <x:v>0.4982679005419875</x:v>
      </x:c>
      <x:c r="N278" s="18" t="n">
        <x:v>40</x:v>
      </x:c>
      <x:c r="O278" s="17" t="n">
        <x:v>0.5022325607970435</x:v>
      </x:c>
      <x:c r="P278" s="11" t="n">
        <x:f>1/O278</x:f>
        <x:v>1.9911094541799503</x:v>
      </x:c>
      <x:c r="Q278" s="17" t="n">
        <x:v>2.2383900833552106</x:v>
      </x:c>
      <x:c r="R278" s="11" t="n">
        <x:f>Q278/P278</x:f>
        <x:v>1.1241923836261951</x:v>
      </x:c>
      <x:c r="S278" s="16" t="n">
        <x:f>COUNTIFS($R$8:$R$437,"&gt;"&amp;R278)+COUNTIFS($R$8:R278,R278)</x:f>
        <x:v>139</x:v>
      </x:c>
      <x:c r="T278" s="16" t="n">
        <x:f>IF(S278&lt;='Wyniki'!$B$6,1,0)</x:f>
        <x:v>0</x:v>
      </x:c>
    </x:row>
    <x:row r="279" ht="22" customHeight="1">
      <x:c r="A279" s="18" t="n">
        <x:v>272</x:v>
      </x:c>
      <x:c r="B279" s="17" t="n">
        <x:v>0.13621624560991874</x:v>
      </x:c>
      <x:c r="C279" s="17" t="n">
        <x:v>-0.09857464399736521</x:v>
      </x:c>
      <x:c r="D279" s="18" t="n">
        <x:v>0</x:v>
      </x:c>
      <x:c r="E279" s="17" t="n">
        <x:v>0.12773681853206909</x:v>
      </x:c>
      <x:c r="F279" s="18" t="n">
        <x:v>10</x:v>
      </x:c>
      <x:c r="G279" s="17" t="n">
        <x:v>0.13170688878618927</x:v>
      </x:c>
      <x:c r="H279" s="11" t="n">
        <x:f>1/G279</x:f>
        <x:v>7.592617282330486</x:v>
      </x:c>
      <x:c r="I279" s="17" t="n">
        <x:v>7.610765625003762</x:v>
      </x:c>
      <x:c r="J279" s="11" t="n">
        <x:f>I279/H279</x:f>
        <x:v>1.0023902617501228</x:v>
      </x:c>
      <x:c r="K279" s="16" t="n">
        <x:f>COUNTIFS($J$8:$J$437,"&gt;"&amp;J279)+COUNTIFS($J$8:J279,J279)</x:f>
        <x:v>302</x:v>
      </x:c>
      <x:c r="L279" s="16" t="n">
        <x:f>IF(K279&lt;='Wyniki'!$B$6,1,0)</x:f>
        <x:v>0</x:v>
      </x:c>
      <x:c r="M279" s="17" t="n">
        <x:v>0.25128196515372786</x:v>
      </x:c>
      <x:c r="N279" s="18" t="n">
        <x:v>40</x:v>
      </x:c>
      <x:c r="O279" s="17" t="n">
        <x:v>0.26410248416494053</x:v>
      </x:c>
      <x:c r="P279" s="11" t="n">
        <x:f>1/O279</x:f>
        <x:v>3.786408913047057</x:v>
      </x:c>
      <x:c r="Q279" s="17" t="n">
        <x:v>3.6999992717985215</x:v>
      </x:c>
      <x:c r="R279" s="11" t="n">
        <x:f>Q279/P279</x:f>
        <x:v>0.9771789990904605</x:v>
      </x:c>
      <x:c r="S279" s="16" t="n">
        <x:f>COUNTIFS($R$8:$R$437,"&gt;"&amp;R279)+COUNTIFS($R$8:R279,R279)</x:f>
        <x:v>400</x:v>
      </x:c>
      <x:c r="T279" s="16" t="n">
        <x:f>IF(S279&lt;='Wyniki'!$B$6,1,0)</x:f>
        <x:v>0</x:v>
      </x:c>
    </x:row>
    <x:row r="280" ht="22" customHeight="1">
      <x:c r="A280" s="18" t="n">
        <x:v>273</x:v>
      </x:c>
      <x:c r="B280" s="17" t="n">
        <x:v>-0.13935766292140822</x:v>
      </x:c>
      <x:c r="C280" s="17" t="n">
        <x:v>-0.08755167925903344</x:v>
      </x:c>
      <x:c r="D280" s="18" t="n">
        <x:v>0</x:v>
      </x:c>
      <x:c r="E280" s="17" t="n">
        <x:v>0.13646067916769838</x:v>
      </x:c>
      <x:c r="F280" s="18" t="n">
        <x:v>10</x:v>
      </x:c>
      <x:c r="G280" s="17" t="n">
        <x:v>0.13348953091626908</x:v>
      </x:c>
      <x:c r="H280" s="11" t="n">
        <x:f>1/G280</x:f>
        <x:v>7.491224166689499</x:v>
      </x:c>
      <x:c r="I280" s="17" t="n">
        <x:v>7.27389308411273</x:v>
      </x:c>
      <x:c r="J280" s="11" t="n">
        <x:f>I280/H280</x:f>
        <x:v>0.9709885757333021</x:v>
      </x:c>
      <x:c r="K280" s="16" t="n">
        <x:f>COUNTIFS($J$8:$J$437,"&gt;"&amp;J280)+COUNTIFS($J$8:J280,J280)</x:f>
        <x:v>400</x:v>
      </x:c>
      <x:c r="L280" s="16" t="n">
        <x:f>IF(K280&lt;='Wyniki'!$B$6,1,0)</x:f>
        <x:v>0</x:v>
      </x:c>
      <x:c r="M280" s="17" t="n">
        <x:v>0.27640208531659327</x:v>
      </x:c>
      <x:c r="N280" s="18" t="n">
        <x:v>40</x:v>
      </x:c>
      <x:c r="O280" s="17" t="n">
        <x:v>0.2679451622183085</x:v>
      </x:c>
      <x:c r="P280" s="11" t="n">
        <x:f>1/O280</x:f>
        <x:v>3.732106942036331</x:v>
      </x:c>
      <x:c r="Q280" s="17" t="n">
        <x:v>3.699094471623856</x:v>
      </x:c>
      <x:c r="R280" s="11" t="n">
        <x:f>Q280/P280</x:f>
        <x:v>0.9911544682601022</x:v>
      </x:c>
      <x:c r="S280" s="16" t="n">
        <x:f>COUNTIFS($R$8:$R$437,"&gt;"&amp;R280)+COUNTIFS($R$8:R280,R280)</x:f>
        <x:v>342</x:v>
      </x:c>
      <x:c r="T280" s="16" t="n">
        <x:f>IF(S280&lt;='Wyniki'!$B$6,1,0)</x:f>
        <x:v>0</x:v>
      </x:c>
    </x:row>
    <x:row r="281" ht="22" customHeight="1">
      <x:c r="A281" s="18" t="n">
        <x:v>274</x:v>
      </x:c>
      <x:c r="B281" s="17" t="n">
        <x:v>0.1118635323409689</x:v>
      </x:c>
      <x:c r="C281" s="17" t="n">
        <x:v>-0.5546948230687093</x:v>
      </x:c>
      <x:c r="D281" s="18" t="n">
        <x:v>0</x:v>
      </x:c>
      <x:c r="E281" s="17" t="n">
        <x:v>0.14762227668220318</x:v>
      </x:c>
      <x:c r="F281" s="18" t="n">
        <x:v>10</x:v>
      </x:c>
      <x:c r="G281" s="17" t="n">
        <x:v>0.15532258914254568</x:v>
      </x:c>
      <x:c r="H281" s="11" t="n">
        <x:f>1/G281</x:f>
        <x:v>6.43821356262778</x:v>
      </x:c>
      <x:c r="I281" s="17" t="n">
        <x:v>6.447737778373837</x:v>
      </x:c>
      <x:c r="J281" s="11" t="n">
        <x:f>I281/H281</x:f>
        <x:v>1.0014793258492298</x:v>
      </x:c>
      <x:c r="K281" s="16" t="n">
        <x:f>COUNTIFS($J$8:$J$437,"&gt;"&amp;J281)+COUNTIFS($J$8:J281,J281)</x:f>
        <x:v>306</x:v>
      </x:c>
      <x:c r="L281" s="16" t="n">
        <x:f>IF(K281&lt;='Wyniki'!$B$6,1,0)</x:f>
        <x:v>0</x:v>
      </x:c>
      <x:c r="M281" s="17" t="n">
        <x:v>0.3226133757356091</x:v>
      </x:c>
      <x:c r="N281" s="18" t="n">
        <x:v>40</x:v>
      </x:c>
      <x:c r="O281" s="17" t="n">
        <x:v>0.3186673328077082</x:v>
      </x:c>
      <x:c r="P281" s="11" t="n">
        <x:f>1/O281</x:f>
        <x:v>3.1380687539862295</x:v>
      </x:c>
      <x:c r="Q281" s="17" t="n">
        <x:v>3.1141442243515005</x:v>
      </x:c>
      <x:c r="R281" s="11" t="n">
        <x:f>Q281/P281</x:f>
        <x:v>0.992376033952622</x:v>
      </x:c>
      <x:c r="S281" s="16" t="n">
        <x:f>COUNTIFS($R$8:$R$437,"&gt;"&amp;R281)+COUNTIFS($R$8:R281,R281)</x:f>
        <x:v>336</x:v>
      </x:c>
      <x:c r="T281" s="16" t="n">
        <x:f>IF(S281&lt;='Wyniki'!$B$6,1,0)</x:f>
        <x:v>0</x:v>
      </x:c>
    </x:row>
    <x:row r="282" ht="22" customHeight="1">
      <x:c r="A282" s="18" t="n">
        <x:v>275</x:v>
      </x:c>
      <x:c r="B282" s="17" t="n">
        <x:v>0.38876730249447794</x:v>
      </x:c>
      <x:c r="C282" s="17" t="n">
        <x:v>0.36446628371201617</x:v>
      </x:c>
      <x:c r="D282" s="18" t="n">
        <x:v>0</x:v>
      </x:c>
      <x:c r="E282" s="17" t="n">
        <x:v>0.12658597361880675</x:v>
      </x:c>
      <x:c r="F282" s="18" t="n">
        <x:v>10</x:v>
      </x:c>
      <x:c r="G282" s="17" t="n">
        <x:v>0.13750366025973132</x:v>
      </x:c>
      <x:c r="H282" s="11" t="n">
        <x:f>1/G282</x:f>
        <x:v>7.272533677366081</x:v>
      </x:c>
      <x:c r="I282" s="17" t="n">
        <x:v>7.371222417266753</x:v>
      </x:c>
      <x:c r="J282" s="11" t="n">
        <x:f>I282/H282</x:f>
        <x:v>1.013570062962763</x:v>
      </x:c>
      <x:c r="K282" s="16" t="n">
        <x:f>COUNTIFS($J$8:$J$437,"&gt;"&amp;J282)+COUNTIFS($J$8:J282,J282)</x:f>
        <x:v>256</x:v>
      </x:c>
      <x:c r="L282" s="16" t="n">
        <x:f>IF(K282&lt;='Wyniki'!$B$6,1,0)</x:f>
        <x:v>0</x:v>
      </x:c>
      <x:c r="M282" s="17" t="n">
        <x:v>0.27523656312552003</x:v>
      </x:c>
      <x:c r="N282" s="18" t="n">
        <x:v>40</x:v>
      </x:c>
      <x:c r="O282" s="17" t="n">
        <x:v>0.29038282934923226</x:v>
      </x:c>
      <x:c r="P282" s="11" t="n">
        <x:f>1/O282</x:f>
        <x:v>3.4437297902257797</x:v>
      </x:c>
      <x:c r="Q282" s="17" t="n">
        <x:v>3.4158539901397043</x:v>
      </x:c>
      <x:c r="R282" s="11" t="n">
        <x:f>Q282/P282</x:f>
        <x:v>0.9919053463006319</x:v>
      </x:c>
      <x:c r="S282" s="16" t="n">
        <x:f>COUNTIFS($R$8:$R$437,"&gt;"&amp;R282)+COUNTIFS($R$8:R282,R282)</x:f>
        <x:v>339</x:v>
      </x:c>
      <x:c r="T282" s="16" t="n">
        <x:f>IF(S282&lt;='Wyniki'!$B$6,1,0)</x:f>
        <x:v>0</x:v>
      </x:c>
    </x:row>
    <x:row r="283" ht="22" customHeight="1">
      <x:c r="A283" s="18" t="n">
        <x:v>276</x:v>
      </x:c>
      <x:c r="B283" s="17" t="n">
        <x:v>0.21177086571085557</x:v>
      </x:c>
      <x:c r="C283" s="17" t="n">
        <x:v>0.30609339351319476</x:v>
      </x:c>
      <x:c r="D283" s="18" t="n">
        <x:v>0</x:v>
      </x:c>
      <x:c r="E283" s="17" t="n">
        <x:v>0.15242423678115125</x:v>
      </x:c>
      <x:c r="F283" s="18" t="n">
        <x:v>10</x:v>
      </x:c>
      <x:c r="G283" s="17" t="n">
        <x:v>0.1355212206807976</x:v>
      </x:c>
      <x:c r="H283" s="11" t="n">
        <x:f>1/G283</x:f>
        <x:v>7.378918186955889</x:v>
      </x:c>
      <x:c r="I283" s="17" t="n">
        <x:v>7.234633565590087</x:v>
      </x:c>
      <x:c r="J283" s="11" t="n">
        <x:f>I283/H283</x:f>
        <x:v>0.9804463719870399</x:v>
      </x:c>
      <x:c r="K283" s="16" t="n">
        <x:f>COUNTIFS($J$8:$J$437,"&gt;"&amp;J283)+COUNTIFS($J$8:J283,J283)</x:f>
        <x:v>379</x:v>
      </x:c>
      <x:c r="L283" s="16" t="n">
        <x:f>IF(K283&lt;='Wyniki'!$B$6,1,0)</x:f>
        <x:v>0</x:v>
      </x:c>
      <x:c r="M283" s="17" t="n">
        <x:v>0.2708050824767881</x:v>
      </x:c>
      <x:c r="N283" s="18" t="n">
        <x:v>40</x:v>
      </x:c>
      <x:c r="O283" s="17" t="n">
        <x:v>0.2731556050210867</x:v>
      </x:c>
      <x:c r="P283" s="11" t="n">
        <x:f>1/O283</x:f>
        <x:v>3.6609170070766197</x:v>
      </x:c>
      <x:c r="Q283" s="17" t="n">
        <x:v>3.6012179302617584</x:v>
      </x:c>
      <x:c r="R283" s="11" t="n">
        <x:f>Q283/P283</x:f>
        <x:v>0.9836928625534362</x:v>
      </x:c>
      <x:c r="S283" s="16" t="n">
        <x:f>COUNTIFS($R$8:$R$437,"&gt;"&amp;R283)+COUNTIFS($R$8:R283,R283)</x:f>
        <x:v>374</x:v>
      </x:c>
      <x:c r="T283" s="16" t="n">
        <x:f>IF(S283&lt;='Wyniki'!$B$6,1,0)</x:f>
        <x:v>0</x:v>
      </x:c>
    </x:row>
    <x:row r="284" ht="22" customHeight="1">
      <x:c r="A284" s="18" t="n">
        <x:v>277</x:v>
      </x:c>
      <x:c r="B284" s="17" t="n">
        <x:v>0.16302990044476273</x:v>
      </x:c>
      <x:c r="C284" s="17" t="n">
        <x:v>1.119290316502087</x:v>
      </x:c>
      <x:c r="D284" s="18" t="n">
        <x:v>0</x:v>
      </x:c>
      <x:c r="E284" s="17" t="n">
        <x:v>0.328719936096445</x:v>
      </x:c>
      <x:c r="F284" s="18" t="n">
        <x:v>10</x:v>
      </x:c>
      <x:c r="G284" s="17" t="n">
        <x:v>0.3131588845451372</x:v>
      </x:c>
      <x:c r="H284" s="11" t="n">
        <x:f>1/G284</x:f>
        <x:v>3.1932672178613055</x:v>
      </x:c>
      <x:c r="I284" s="17" t="n">
        <x:v>3.9956928858115717</x:v>
      </x:c>
      <x:c r="J284" s="11" t="n">
        <x:f>I284/H284</x:f>
        <x:v>1.251286727105692</x:v>
      </x:c>
      <x:c r="K284" s="16" t="n">
        <x:f>COUNTIFS($J$8:$J$437,"&gt;"&amp;J284)+COUNTIFS($J$8:J284,J284)</x:f>
        <x:v>49</x:v>
      </x:c>
      <x:c r="L284" s="16" t="n">
        <x:f>IF(K284&lt;='Wyniki'!$B$6,1,0)</x:f>
        <x:v>0</x:v>
      </x:c>
      <x:c r="M284" s="17" t="n">
        <x:v>0.6517198740937711</x:v>
      </x:c>
      <x:c r="N284" s="18" t="n">
        <x:v>40</x:v>
      </x:c>
      <x:c r="O284" s="17" t="n">
        <x:v>0.5271731898646557</x:v>
      </x:c>
      <x:c r="P284" s="11" t="n">
        <x:f>1/O284</x:f>
        <x:v>1.896909818681667</x:v>
      </x:c>
      <x:c r="Q284" s="17" t="n">
        <x:v>2.3744664262405037</x:v>
      </x:c>
      <x:c r="R284" s="11" t="n">
        <x:f>Q284/P284</x:f>
        <x:v>1.2517550401477355</x:v>
      </x:c>
      <x:c r="S284" s="16" t="n">
        <x:f>COUNTIFS($R$8:$R$437,"&gt;"&amp;R284)+COUNTIFS($R$8:R284,R284)</x:f>
        <x:v>95</x:v>
      </x:c>
      <x:c r="T284" s="16" t="n">
        <x:f>IF(S284&lt;='Wyniki'!$B$6,1,0)</x:f>
        <x:v>0</x:v>
      </x:c>
    </x:row>
    <x:row r="285" ht="22" customHeight="1">
      <x:c r="A285" s="18" t="n">
        <x:v>278</x:v>
      </x:c>
      <x:c r="B285" s="17" t="n">
        <x:v>-0.04790179407888045</x:v>
      </x:c>
      <x:c r="C285" s="17" t="n">
        <x:v>-0.1688957700840172</x:v>
      </x:c>
      <x:c r="D285" s="18" t="n">
        <x:v>0</x:v>
      </x:c>
      <x:c r="E285" s="17" t="n">
        <x:v>0.1265935647160644</x:v>
      </x:c>
      <x:c r="F285" s="18" t="n">
        <x:v>10</x:v>
      </x:c>
      <x:c r="G285" s="17" t="n">
        <x:v>0.13028568191150228</x:v>
      </x:c>
      <x:c r="H285" s="11" t="n">
        <x:f>1/G285</x:f>
        <x:v>7.675440503732858</x:v>
      </x:c>
      <x:c r="I285" s="17" t="n">
        <x:v>7.534675898792036</x:v>
      </x:c>
      <x:c r="J285" s="11" t="n">
        <x:f>I285/H285</x:f>
        <x:v>0.9816603874562818</x:v>
      </x:c>
      <x:c r="K285" s="16" t="n">
        <x:f>COUNTIFS($J$8:$J$437,"&gt;"&amp;J285)+COUNTIFS($J$8:J285,J285)</x:f>
        <x:v>377</x:v>
      </x:c>
      <x:c r="L285" s="16" t="n">
        <x:f>IF(K285&lt;='Wyniki'!$B$6,1,0)</x:f>
        <x:v>0</x:v>
      </x:c>
      <x:c r="M285" s="17" t="n">
        <x:v>0.2722783277478045</x:v>
      </x:c>
      <x:c r="N285" s="18" t="n">
        <x:v>40</x:v>
      </x:c>
      <x:c r="O285" s="17" t="n">
        <x:v>0.27190940799262664</x:v>
      </x:c>
      <x:c r="P285" s="11" t="n">
        <x:f>1/O285</x:f>
        <x:v>3.6776954772639456</x:v>
      </x:c>
      <x:c r="Q285" s="17" t="n">
        <x:v>3.628199470173377</x:v>
      </x:c>
      <x:c r="R285" s="11" t="n">
        <x:f>Q285/P285</x:f>
        <x:v>0.9865415700140047</x:v>
      </x:c>
      <x:c r="S285" s="16" t="n">
        <x:f>COUNTIFS($R$8:$R$437,"&gt;"&amp;R285)+COUNTIFS($R$8:R285,R285)</x:f>
        <x:v>358</x:v>
      </x:c>
      <x:c r="T285" s="16" t="n">
        <x:f>IF(S285&lt;='Wyniki'!$B$6,1,0)</x:f>
        <x:v>0</x:v>
      </x:c>
    </x:row>
    <x:row r="286" ht="22" customHeight="1">
      <x:c r="A286" s="18" t="n">
        <x:v>279</x:v>
      </x:c>
      <x:c r="B286" s="17" t="n">
        <x:v>-0.41444016919655785</x:v>
      </x:c>
      <x:c r="C286" s="17" t="n">
        <x:v>-0.5677444688178103</x:v>
      </x:c>
      <x:c r="D286" s="18" t="n">
        <x:v>0</x:v>
      </x:c>
      <x:c r="E286" s="17" t="n">
        <x:v>0.1432374519004063</x:v>
      </x:c>
      <x:c r="F286" s="18" t="n">
        <x:v>10</x:v>
      </x:c>
      <x:c r="G286" s="17" t="n">
        <x:v>0.1649333239045879</x:v>
      </x:c>
      <x:c r="H286" s="11" t="n">
        <x:f>1/G286</x:f>
        <x:v>6.063056126719965</x:v>
      </x:c>
      <x:c r="I286" s="17" t="n">
        <x:v>5.988250704605588</x:v>
      </x:c>
      <x:c r="J286" s="11" t="n">
        <x:f>I286/H286</x:f>
        <x:v>0.9876620930845901</x:v>
      </x:c>
      <x:c r="K286" s="16" t="n">
        <x:f>COUNTIFS($J$8:$J$437,"&gt;"&amp;J286)+COUNTIFS($J$8:J286,J286)</x:f>
        <x:v>355</x:v>
      </x:c>
      <x:c r="L286" s="16" t="n">
        <x:f>IF(K286&lt;='Wyniki'!$B$6,1,0)</x:f>
        <x:v>0</x:v>
      </x:c>
      <x:c r="M286" s="17" t="n">
        <x:v>0.36557700965914697</x:v>
      </x:c>
      <x:c r="N286" s="18" t="n">
        <x:v>40</x:v>
      </x:c>
      <x:c r="O286" s="17" t="n">
        <x:v>0.36548811510749124</x:v>
      </x:c>
      <x:c r="P286" s="11" t="n">
        <x:f>1/O286</x:f>
        <x:v>2.7360670803369262</x:v>
      </x:c>
      <x:c r="Q286" s="17" t="n">
        <x:v>2.7547491035683818</x:v>
      </x:c>
      <x:c r="R286" s="11" t="n">
        <x:f>Q286/P286</x:f>
        <x:v>1.006828057457259</x:v>
      </x:c>
      <x:c r="S286" s="16" t="n">
        <x:f>COUNTIFS($R$8:$R$437,"&gt;"&amp;R286)+COUNTIFS($R$8:R286,R286)</x:f>
        <x:v>279</x:v>
      </x:c>
      <x:c r="T286" s="16" t="n">
        <x:f>IF(S286&lt;='Wyniki'!$B$6,1,0)</x:f>
        <x:v>0</x:v>
      </x:c>
    </x:row>
    <x:row r="287" ht="22" customHeight="1">
      <x:c r="A287" s="18" t="n">
        <x:v>280</x:v>
      </x:c>
      <x:c r="B287" s="17" t="n">
        <x:v>-0.6844594831805915</x:v>
      </x:c>
      <x:c r="C287" s="17" t="n">
        <x:v>-0.4888385222770052</x:v>
      </x:c>
      <x:c r="D287" s="18" t="n">
        <x:v>0</x:v>
      </x:c>
      <x:c r="E287" s="17" t="n">
        <x:v>0.20342996049024414</x:v>
      </x:c>
      <x:c r="F287" s="18" t="n">
        <x:v>10</x:v>
      </x:c>
      <x:c r="G287" s="17" t="n">
        <x:v>0.21222163121406518</x:v>
      </x:c>
      <x:c r="H287" s="11" t="n">
        <x:f>1/G287</x:f>
        <x:v>4.7120550072075975</x:v>
      </x:c>
      <x:c r="I287" s="17" t="n">
        <x:v>4.783028992534264</x:v>
      </x:c>
      <x:c r="J287" s="11" t="n">
        <x:f>I287/H287</x:f>
        <x:v>1.0150622149397883</x:v>
      </x:c>
      <x:c r="K287" s="16" t="n">
        <x:f>COUNTIFS($J$8:$J$437,"&gt;"&amp;J287)+COUNTIFS($J$8:J287,J287)</x:f>
        <x:v>250</x:v>
      </x:c>
      <x:c r="L287" s="16" t="n">
        <x:f>IF(K287&lt;='Wyniki'!$B$6,1,0)</x:f>
        <x:v>0</x:v>
      </x:c>
      <x:c r="M287" s="17" t="n">
        <x:v>0.4032879168915555</x:v>
      </x:c>
      <x:c r="N287" s="18" t="n">
        <x:v>40</x:v>
      </x:c>
      <x:c r="O287" s="17" t="n">
        <x:v>0.39603696177226483</x:v>
      </x:c>
      <x:c r="P287" s="11" t="n">
        <x:f>1/O287</x:f>
        <x:v>2.5250168457130906</x:v>
      </x:c>
      <x:c r="Q287" s="17" t="n">
        <x:v>2.611860018290511</x:v>
      </x:c>
      <x:c r="R287" s="11" t="n">
        <x:f>Q287/P287</x:f>
        <x:v>1.034393106218226</x:v>
      </x:c>
      <x:c r="S287" s="16" t="n">
        <x:f>COUNTIFS($R$8:$R$437,"&gt;"&amp;R287)+COUNTIFS($R$8:R287,R287)</x:f>
        <x:v>218</x:v>
      </x:c>
      <x:c r="T287" s="16" t="n">
        <x:f>IF(S287&lt;='Wyniki'!$B$6,1,0)</x:f>
        <x:v>0</x:v>
      </x:c>
    </x:row>
    <x:row r="288" ht="22" customHeight="1">
      <x:c r="A288" s="18" t="n">
        <x:v>281</x:v>
      </x:c>
      <x:c r="B288" s="17" t="n">
        <x:v>-0.038874209908639226</x:v>
      </x:c>
      <x:c r="C288" s="17" t="n">
        <x:v>0.18386232067374297</x:v>
      </x:c>
      <x:c r="D288" s="18" t="n">
        <x:v>0</x:v>
      </x:c>
      <x:c r="E288" s="17" t="n">
        <x:v>0.10128804664781466</x:v>
      </x:c>
      <x:c r="F288" s="18" t="n">
        <x:v>10</x:v>
      </x:c>
      <x:c r="G288" s="17" t="n">
        <x:v>0.10526577127942358</x:v>
      </x:c>
      <x:c r="H288" s="11" t="n">
        <x:f>1/G288</x:f>
        <x:v>9.499764147887559</x:v>
      </x:c>
      <x:c r="I288" s="17" t="n">
        <x:v>9.274307164619657</x:v>
      </x:c>
      <x:c r="J288" s="11" t="n">
        <x:f>I288/H288</x:f>
        <x:v>0.9762670967659722</x:v>
      </x:c>
      <x:c r="K288" s="16" t="n">
        <x:f>COUNTIFS($J$8:$J$437,"&gt;"&amp;J288)+COUNTIFS($J$8:J288,J288)</x:f>
        <x:v>391</x:v>
      </x:c>
      <x:c r="L288" s="16" t="n">
        <x:f>IF(K288&lt;='Wyniki'!$B$6,1,0)</x:f>
        <x:v>0</x:v>
      </x:c>
      <x:c r="M288" s="17" t="n">
        <x:v>0.262734584358913</x:v>
      </x:c>
      <x:c r="N288" s="18" t="n">
        <x:v>40</x:v>
      </x:c>
      <x:c r="O288" s="17" t="n">
        <x:v>0.2596769137562329</x:v>
      </x:c>
      <x:c r="P288" s="11" t="n">
        <x:f>1/O288</x:f>
        <x:v>3.850939174896126</x:v>
      </x:c>
      <x:c r="Q288" s="17" t="n">
        <x:v>3.757128724764422</x:v>
      </x:c>
      <x:c r="R288" s="11" t="n">
        <x:f>Q288/P288</x:f>
        <x:v>0.9756395918317161</x:v>
      </x:c>
      <x:c r="S288" s="16" t="n">
        <x:f>COUNTIFS($R$8:$R$437,"&gt;"&amp;R288)+COUNTIFS($R$8:R288,R288)</x:f>
        <x:v>407</x:v>
      </x:c>
      <x:c r="T288" s="16" t="n">
        <x:f>IF(S288&lt;='Wyniki'!$B$6,1,0)</x:f>
        <x:v>0</x:v>
      </x:c>
    </x:row>
    <x:row r="289" ht="22" customHeight="1">
      <x:c r="A289" s="18" t="n">
        <x:v>282</x:v>
      </x:c>
      <x:c r="B289" s="17" t="n">
        <x:v>0.028128132203688986</x:v>
      </x:c>
      <x:c r="C289" s="17" t="n">
        <x:v>-0.4210444025863422</x:v>
      </x:c>
      <x:c r="D289" s="18" t="n">
        <x:v>0</x:v>
      </x:c>
      <x:c r="E289" s="17" t="n">
        <x:v>0.13789128230742453</x:v>
      </x:c>
      <x:c r="F289" s="18" t="n">
        <x:v>10</x:v>
      </x:c>
      <x:c r="G289" s="17" t="n">
        <x:v>0.1467002485032951</x:v>
      </x:c>
      <x:c r="H289" s="11" t="n">
        <x:f>1/G289</x:f>
        <x:v>6.816621036449972</x:v>
      </x:c>
      <x:c r="I289" s="17" t="n">
        <x:v>6.866333289782079</x:v>
      </x:c>
      <x:c r="J289" s="11" t="n">
        <x:f>I289/H289</x:f>
        <x:v>1.0072927999174788</x:v>
      </x:c>
      <x:c r="K289" s="16" t="n">
        <x:f>COUNTIFS($J$8:$J$437,"&gt;"&amp;J289)+COUNTIFS($J$8:J289,J289)</x:f>
        <x:v>278</x:v>
      </x:c>
      <x:c r="L289" s="16" t="n">
        <x:f>IF(K289&lt;='Wyniki'!$B$6,1,0)</x:f>
        <x:v>0</x:v>
      </x:c>
      <x:c r="M289" s="17" t="n">
        <x:v>0.2754878233591228</x:v>
      </x:c>
      <x:c r="N289" s="18" t="n">
        <x:v>40</x:v>
      </x:c>
      <x:c r="O289" s="17" t="n">
        <x:v>0.3026403100685113</x:v>
      </x:c>
      <x:c r="P289" s="11" t="n">
        <x:f>1/O289</x:f>
        <x:v>3.3042524962177757</x:v>
      </x:c>
      <x:c r="Q289" s="17" t="n">
        <x:v>3.2583878541250813</x:v>
      </x:c>
      <x:c r="R289" s="11" t="n">
        <x:f>Q289/P289</x:f>
        <x:v>0.9861195104958856</x:v>
      </x:c>
      <x:c r="S289" s="16" t="n">
        <x:f>COUNTIFS($R$8:$R$437,"&gt;"&amp;R289)+COUNTIFS($R$8:R289,R289)</x:f>
        <x:v>360</x:v>
      </x:c>
      <x:c r="T289" s="16" t="n">
        <x:f>IF(S289&lt;='Wyniki'!$B$6,1,0)</x:f>
        <x:v>0</x:v>
      </x:c>
    </x:row>
    <x:row r="290" ht="22" customHeight="1">
      <x:c r="A290" s="18" t="n">
        <x:v>283</x:v>
      </x:c>
      <x:c r="B290" s="17" t="n">
        <x:v>0.49510151021097987</x:v>
      </x:c>
      <x:c r="C290" s="17" t="n">
        <x:v>0.4066769697655212</x:v>
      </x:c>
      <x:c r="D290" s="18" t="n">
        <x:v>0</x:v>
      </x:c>
      <x:c r="E290" s="17" t="n">
        <x:v>0.14921748547709293</x:v>
      </x:c>
      <x:c r="F290" s="18" t="n">
        <x:v>10</x:v>
      </x:c>
      <x:c r="G290" s="17" t="n">
        <x:v>0.15628541347180996</x:v>
      </x:c>
      <x:c r="H290" s="11" t="n">
        <x:f>1/G290</x:f>
        <x:v>6.398549792878626</x:v>
      </x:c>
      <x:c r="I290" s="17" t="n">
        <x:v>6.6719897360385945</x:v>
      </x:c>
      <x:c r="J290" s="11" t="n">
        <x:f>I290/H290</x:f>
        <x:v>1.0427346745764638</x:v>
      </x:c>
      <x:c r="K290" s="16" t="n">
        <x:f>COUNTIFS($J$8:$J$437,"&gt;"&amp;J290)+COUNTIFS($J$8:J290,J290)</x:f>
        <x:v>188</x:v>
      </x:c>
      <x:c r="L290" s="16" t="n">
        <x:f>IF(K290&lt;='Wyniki'!$B$6,1,0)</x:f>
        <x:v>0</x:v>
      </x:c>
      <x:c r="M290" s="17" t="n">
        <x:v>0.3006548019316561</x:v>
      </x:c>
      <x:c r="N290" s="18" t="n">
        <x:v>40</x:v>
      </x:c>
      <x:c r="O290" s="17" t="n">
        <x:v>0.3066699943362047</x:v>
      </x:c>
      <x:c r="P290" s="11" t="n">
        <x:f>1/O290</x:f>
        <x:v>3.2608341815916044</x:v>
      </x:c>
      <x:c r="Q290" s="17" t="n">
        <x:v>3.3205043382062955</x:v>
      </x:c>
      <x:c r="R290" s="11" t="n">
        <x:f>Q290/P290</x:f>
        <x:v>1.0182990465910677</x:v>
      </x:c>
      <x:c r="S290" s="16" t="n">
        <x:f>COUNTIFS($R$8:$R$437,"&gt;"&amp;R290)+COUNTIFS($R$8:R290,R290)</x:f>
        <x:v>246</x:v>
      </x:c>
      <x:c r="T290" s="16" t="n">
        <x:f>IF(S290&lt;='Wyniki'!$B$6,1,0)</x:f>
        <x:v>0</x:v>
      </x:c>
    </x:row>
    <x:row r="291" ht="22" customHeight="1">
      <x:c r="A291" s="18" t="n">
        <x:v>284</x:v>
      </x:c>
      <x:c r="B291" s="17" t="n">
        <x:v>-0.08780656908210935</x:v>
      </x:c>
      <x:c r="C291" s="17" t="n">
        <x:v>-0.35910387956559164</x:v>
      </x:c>
      <x:c r="D291" s="18" t="n">
        <x:v>0</x:v>
      </x:c>
      <x:c r="E291" s="17" t="n">
        <x:v>0.14764687793266867</x:v>
      </x:c>
      <x:c r="F291" s="18" t="n">
        <x:v>10</x:v>
      </x:c>
      <x:c r="G291" s="17" t="n">
        <x:v>0.14835943947241517</x:v>
      </x:c>
      <x:c r="H291" s="11" t="n">
        <x:f>1/G291</x:f>
        <x:v>6.740386749613815</x:v>
      </x:c>
      <x:c r="I291" s="17" t="n">
        <x:v>6.879238147982159</x:v>
      </x:c>
      <x:c r="J291" s="11" t="n">
        <x:f>I291/H291</x:f>
        <x:v>1.0205999156318886</x:v>
      </x:c>
      <x:c r="K291" s="16" t="n">
        <x:f>COUNTIFS($J$8:$J$437,"&gt;"&amp;J291)+COUNTIFS($J$8:J291,J291)</x:f>
        <x:v>242</x:v>
      </x:c>
      <x:c r="L291" s="16" t="n">
        <x:f>IF(K291&lt;='Wyniki'!$B$6,1,0)</x:f>
        <x:v>0</x:v>
      </x:c>
      <x:c r="M291" s="17" t="n">
        <x:v>0.294428198222736</x:v>
      </x:c>
      <x:c r="N291" s="18" t="n">
        <x:v>40</x:v>
      </x:c>
      <x:c r="O291" s="17" t="n">
        <x:v>0.29192684429109</x:v>
      </x:c>
      <x:c r="P291" s="11" t="n">
        <x:f>1/O291</x:f>
        <x:v>3.425515739836747</x:v>
      </x:c>
      <x:c r="Q291" s="17" t="n">
        <x:v>3.376641884306293</x:v>
      </x:c>
      <x:c r="R291" s="11" t="n">
        <x:f>Q291/P291</x:f>
        <x:v>0.985732409586656</x:v>
      </x:c>
      <x:c r="S291" s="16" t="n">
        <x:f>COUNTIFS($R$8:$R$437,"&gt;"&amp;R291)+COUNTIFS($R$8:R291,R291)</x:f>
        <x:v>362</x:v>
      </x:c>
      <x:c r="T291" s="16" t="n">
        <x:f>IF(S291&lt;='Wyniki'!$B$6,1,0)</x:f>
        <x:v>0</x:v>
      </x:c>
    </x:row>
    <x:row r="292" ht="22" customHeight="1">
      <x:c r="A292" s="18" t="n">
        <x:v>285</x:v>
      </x:c>
      <x:c r="B292" s="17" t="n">
        <x:v>0.3016353564563898</x:v>
      </x:c>
      <x:c r="C292" s="17" t="n">
        <x:v>0.10338547311735746</x:v>
      </x:c>
      <x:c r="D292" s="18" t="n">
        <x:v>0</x:v>
      </x:c>
      <x:c r="E292" s="17" t="n">
        <x:v>0.1380656587043068</x:v>
      </x:c>
      <x:c r="F292" s="18" t="n">
        <x:v>10</x:v>
      </x:c>
      <x:c r="G292" s="17" t="n">
        <x:v>0.12723098813224293</x:v>
      </x:c>
      <x:c r="H292" s="11" t="n">
        <x:f>1/G292</x:f>
        <x:v>7.859720455527764</x:v>
      </x:c>
      <x:c r="I292" s="17" t="n">
        <x:v>7.9514457920094985</x:v>
      </x:c>
      <x:c r="J292" s="11" t="n">
        <x:f>I292/H292</x:f>
        <x:v>1.0116703051973335</x:v>
      </x:c>
      <x:c r="K292" s="16" t="n">
        <x:f>COUNTIFS($J$8:$J$437,"&gt;"&amp;J292)+COUNTIFS($J$8:J292,J292)</x:f>
        <x:v>263</x:v>
      </x:c>
      <x:c r="L292" s="16" t="n">
        <x:f>IF(K292&lt;='Wyniki'!$B$6,1,0)</x:f>
        <x:v>0</x:v>
      </x:c>
      <x:c r="M292" s="17" t="n">
        <x:v>0.2610581757735803</x:v>
      </x:c>
      <x:c r="N292" s="18" t="n">
        <x:v>40</x:v>
      </x:c>
      <x:c r="O292" s="17" t="n">
        <x:v>0.26344766535945413</x:v>
      </x:c>
      <x:c r="P292" s="11" t="n">
        <x:f>1/O292</x:f>
        <x:v>3.795820314579659</x:v>
      </x:c>
      <x:c r="Q292" s="17" t="n">
        <x:v>3.67717944166655</x:v>
      </x:c>
      <x:c r="R292" s="11" t="n">
        <x:f>Q292/P292</x:f>
        <x:v>0.9687443390148337</x:v>
      </x:c>
      <x:c r="S292" s="16" t="n">
        <x:f>COUNTIFS($R$8:$R$437,"&gt;"&amp;R292)+COUNTIFS($R$8:R292,R292)</x:f>
        <x:v>429</x:v>
      </x:c>
      <x:c r="T292" s="16" t="n">
        <x:f>IF(S292&lt;='Wyniki'!$B$6,1,0)</x:f>
        <x:v>0</x:v>
      </x:c>
    </x:row>
    <x:row r="293" ht="22" customHeight="1">
      <x:c r="A293" s="18" t="n">
        <x:v>286</x:v>
      </x:c>
      <x:c r="B293" s="17" t="n">
        <x:v>-0.7964699926782762</x:v>
      </x:c>
      <x:c r="C293" s="17" t="n">
        <x:v>-0.03738914079142269</x:v>
      </x:c>
      <x:c r="D293" s="18" t="n">
        <x:v>0</x:v>
      </x:c>
      <x:c r="E293" s="17" t="n">
        <x:v>0.21610065816564572</x:v>
      </x:c>
      <x:c r="F293" s="18" t="n">
        <x:v>10</x:v>
      </x:c>
      <x:c r="G293" s="17" t="n">
        <x:v>0.21258398995254552</x:v>
      </x:c>
      <x:c r="H293" s="11" t="n">
        <x:f>1/G293</x:f>
        <x:v>4.704023102695678</x:v>
      </x:c>
      <x:c r="I293" s="17" t="n">
        <x:v>5.046088060024358</x:v>
      </x:c>
      <x:c r="J293" s="11" t="n">
        <x:f>I293/H293</x:f>
        <x:v>1.072717533451878</x:v>
      </x:c>
      <x:c r="K293" s="16" t="n">
        <x:f>COUNTIFS($J$8:$J$437,"&gt;"&amp;J293)+COUNTIFS($J$8:J293,J293)</x:f>
        <x:v>147</x:v>
      </x:c>
      <x:c r="L293" s="16" t="n">
        <x:f>IF(K293&lt;='Wyniki'!$B$6,1,0)</x:f>
        <x:v>0</x:v>
      </x:c>
      <x:c r="M293" s="17" t="n">
        <x:v>0.3732806130734299</x:v>
      </x:c>
      <x:c r="N293" s="18" t="n">
        <x:v>40</x:v>
      </x:c>
      <x:c r="O293" s="17" t="n">
        <x:v>0.3921387889762905</x:v>
      </x:c>
      <x:c r="P293" s="11" t="n">
        <x:f>1/O293</x:f>
        <x:v>2.550117530098411</x:v>
      </x:c>
      <x:c r="Q293" s="17" t="n">
        <x:v>2.6386374693965657</x:v>
      </x:c>
      <x:c r="R293" s="11" t="n">
        <x:f>Q293/P293</x:f>
        <x:v>1.0347121017966332</x:v>
      </x:c>
      <x:c r="S293" s="16" t="n">
        <x:f>COUNTIFS($R$8:$R$437,"&gt;"&amp;R293)+COUNTIFS($R$8:R293,R293)</x:f>
        <x:v>217</x:v>
      </x:c>
      <x:c r="T293" s="16" t="n">
        <x:f>IF(S293&lt;='Wyniki'!$B$6,1,0)</x:f>
        <x:v>0</x:v>
      </x:c>
    </x:row>
    <x:row r="294" ht="22" customHeight="1">
      <x:c r="A294" s="18" t="n">
        <x:v>287</x:v>
      </x:c>
      <x:c r="B294" s="17" t="n">
        <x:v>0.1441196966409096</x:v>
      </x:c>
      <x:c r="C294" s="17" t="n">
        <x:v>-0.49483213256826464</x:v>
      </x:c>
      <x:c r="D294" s="18" t="n">
        <x:v>0</x:v>
      </x:c>
      <x:c r="E294" s="17" t="n">
        <x:v>0.13747244129817074</x:v>
      </x:c>
      <x:c r="F294" s="18" t="n">
        <x:v>10</x:v>
      </x:c>
      <x:c r="G294" s="17" t="n">
        <x:v>0.15295542172472715</x:v>
      </x:c>
      <x:c r="H294" s="11" t="n">
        <x:f>1/G294</x:f>
        <x:v>6.537852589492992</x:v>
      </x:c>
      <x:c r="I294" s="17" t="n">
        <x:v>6.506708664347277</x:v>
      </x:c>
      <x:c r="J294" s="11" t="n">
        <x:f>I294/H294</x:f>
        <x:v>0.9952363677951739</x:v>
      </x:c>
      <x:c r="K294" s="16" t="n">
        <x:f>COUNTIFS($J$8:$J$437,"&gt;"&amp;J294)+COUNTIFS($J$8:J294,J294)</x:f>
        <x:v>329</x:v>
      </x:c>
      <x:c r="L294" s="16" t="n">
        <x:f>IF(K294&lt;='Wyniki'!$B$6,1,0)</x:f>
        <x:v>0</x:v>
      </x:c>
      <x:c r="M294" s="17" t="n">
        <x:v>0.31705434981560315</x:v>
      </x:c>
      <x:c r="N294" s="18" t="n">
        <x:v>40</x:v>
      </x:c>
      <x:c r="O294" s="17" t="n">
        <x:v>0.3150607327073524</x:v>
      </x:c>
      <x:c r="P294" s="11" t="n">
        <x:f>1/O294</x:f>
        <x:v>3.173991221968181</x:v>
      </x:c>
      <x:c r="Q294" s="17" t="n">
        <x:v>3.178919339629398</x:v>
      </x:c>
      <x:c r="R294" s="11" t="n">
        <x:f>Q294/P294</x:f>
        <x:v>1.001552656361211</x:v>
      </x:c>
      <x:c r="S294" s="16" t="n">
        <x:f>COUNTIFS($R$8:$R$437,"&gt;"&amp;R294)+COUNTIFS($R$8:R294,R294)</x:f>
        <x:v>307</x:v>
      </x:c>
      <x:c r="T294" s="16" t="n">
        <x:f>IF(S294&lt;='Wyniki'!$B$6,1,0)</x:f>
        <x:v>0</x:v>
      </x:c>
    </x:row>
    <x:row r="295" ht="22" customHeight="1">
      <x:c r="A295" s="18" t="n">
        <x:v>288</x:v>
      </x:c>
      <x:c r="B295" s="17" t="n">
        <x:v>0.10441386606059366</x:v>
      </x:c>
      <x:c r="C295" s="17" t="n">
        <x:v>-0.800152366891784</x:v>
      </x:c>
      <x:c r="D295" s="18" t="n">
        <x:v>0</x:v>
      </x:c>
      <x:c r="E295" s="17" t="n">
        <x:v>0.22559186016797553</x:v>
      </x:c>
      <x:c r="F295" s="18" t="n">
        <x:v>10</x:v>
      </x:c>
      <x:c r="G295" s="17" t="n">
        <x:v>0.2339409698518879</x:v>
      </x:c>
      <x:c r="H295" s="11" t="n">
        <x:f>1/G295</x:f>
        <x:v>4.274582603607728</x:v>
      </x:c>
      <x:c r="I295" s="17" t="n">
        <x:v>4.655076640185203</x:v>
      </x:c>
      <x:c r="J295" s="11" t="n">
        <x:f>I295/H295</x:f>
        <x:v>1.089013143939794</x:v>
      </x:c>
      <x:c r="K295" s="16" t="n">
        <x:f>COUNTIFS($J$8:$J$437,"&gt;"&amp;J295)+COUNTIFS($J$8:J295,J295)</x:f>
        <x:v>128</x:v>
      </x:c>
      <x:c r="L295" s="16" t="n">
        <x:f>IF(K295&lt;='Wyniki'!$B$6,1,0)</x:f>
        <x:v>0</x:v>
      </x:c>
      <x:c r="M295" s="17" t="n">
        <x:v>0.42205289390215023</x:v>
      </x:c>
      <x:c r="N295" s="18" t="n">
        <x:v>40</x:v>
      </x:c>
      <x:c r="O295" s="17" t="n">
        <x:v>0.40955348598708474</x:v>
      </x:c>
      <x:c r="P295" s="11" t="n">
        <x:f>1/O295</x:f>
        <x:v>2.4416835266091104</x:v>
      </x:c>
      <x:c r="Q295" s="17" t="n">
        <x:v>2.7265796241509306</x:v>
      </x:c>
      <x:c r="R295" s="11" t="n">
        <x:f>Q295/P295</x:f>
        <x:v>1.116680189892369</x:v>
      </x:c>
      <x:c r="S295" s="16" t="n">
        <x:f>COUNTIFS($R$8:$R$437,"&gt;"&amp;R295)+COUNTIFS($R$8:R295,R295)</x:f>
        <x:v>142</x:v>
      </x:c>
      <x:c r="T295" s="16" t="n">
        <x:f>IF(S295&lt;='Wyniki'!$B$6,1,0)</x:f>
        <x:v>0</x:v>
      </x:c>
    </x:row>
    <x:row r="296" ht="22" customHeight="1">
      <x:c r="A296" s="18" t="n">
        <x:v>289</x:v>
      </x:c>
      <x:c r="B296" s="17" t="n">
        <x:v>0.734902355006694</x:v>
      </x:c>
      <x:c r="C296" s="17" t="n">
        <x:v>0.6863724917826876</x:v>
      </x:c>
      <x:c r="D296" s="18" t="n">
        <x:v>0</x:v>
      </x:c>
      <x:c r="E296" s="17" t="n">
        <x:v>0.33007173441236465</x:v>
      </x:c>
      <x:c r="F296" s="18" t="n">
        <x:v>10</x:v>
      </x:c>
      <x:c r="G296" s="17" t="n">
        <x:v>0.3131864204829336</x:v>
      </x:c>
      <x:c r="H296" s="11" t="n">
        <x:f>1/G296</x:f>
        <x:v>3.1929864598152102</x:v>
      </x:c>
      <x:c r="I296" s="17" t="n">
        <x:v>3.681852049017331</x:v>
      </x:c>
      <x:c r="J296" s="11" t="n">
        <x:f>I296/H296</x:f>
        <x:v>1.1531060639794926</x:v>
      </x:c>
      <x:c r="K296" s="16" t="n">
        <x:f>COUNTIFS($J$8:$J$437,"&gt;"&amp;J296)+COUNTIFS($J$8:J296,J296)</x:f>
        <x:v>79</x:v>
      </x:c>
      <x:c r="L296" s="16" t="n">
        <x:f>IF(K296&lt;='Wyniki'!$B$6,1,0)</x:f>
        <x:v>0</x:v>
      </x:c>
      <x:c r="M296" s="17" t="n">
        <x:v>0.5373355906564788</x:v>
      </x:c>
      <x:c r="N296" s="18" t="n">
        <x:v>40</x:v>
      </x:c>
      <x:c r="O296" s="17" t="n">
        <x:v>0.4779738283743399</x:v>
      </x:c>
      <x:c r="P296" s="11" t="n">
        <x:f>1/O296</x:f>
        <x:v>2.0921647601525564</x:v>
      </x:c>
      <x:c r="Q296" s="17" t="n">
        <x:v>2.6667376678196053</x:v>
      </x:c>
      <x:c r="R296" s="11" t="n">
        <x:f>Q296/P296</x:f>
        <x:v>1.2746308123577954</x:v>
      </x:c>
      <x:c r="S296" s="16" t="n">
        <x:f>COUNTIFS($R$8:$R$437,"&gt;"&amp;R296)+COUNTIFS($R$8:R296,R296)</x:f>
        <x:v>88</x:v>
      </x:c>
      <x:c r="T296" s="16" t="n">
        <x:f>IF(S296&lt;='Wyniki'!$B$6,1,0)</x:f>
        <x:v>0</x:v>
      </x:c>
    </x:row>
    <x:row r="297" ht="22" customHeight="1">
      <x:c r="A297" s="18" t="n">
        <x:v>290</x:v>
      </x:c>
      <x:c r="B297" s="17" t="n">
        <x:v>-0.13888453386663063</x:v>
      </x:c>
      <x:c r="C297" s="17" t="n">
        <x:v>0.19989988581149026</x:v>
      </x:c>
      <x:c r="D297" s="18" t="n">
        <x:v>0</x:v>
      </x:c>
      <x:c r="E297" s="17" t="n">
        <x:v>0.10005905791239873</x:v>
      </x:c>
      <x:c r="F297" s="18" t="n">
        <x:v>10</x:v>
      </x:c>
      <x:c r="G297" s="17" t="n">
        <x:v>0.10533167388193279</x:v>
      </x:c>
      <x:c r="H297" s="11" t="n">
        <x:f>1/G297</x:f>
        <x:v>9.493820454433383</x:v>
      </x:c>
      <x:c r="I297" s="17" t="n">
        <x:v>9.2866182848463</x:v>
      </x:c>
      <x:c r="J297" s="11" t="n">
        <x:f>I297/H297</x:f>
        <x:v>0.9781750486454245</x:v>
      </x:c>
      <x:c r="K297" s="16" t="n">
        <x:f>COUNTIFS($J$8:$J$437,"&gt;"&amp;J297)+COUNTIFS($J$8:J297,J297)</x:f>
        <x:v>384</x:v>
      </x:c>
      <x:c r="L297" s="16" t="n">
        <x:f>IF(K297&lt;='Wyniki'!$B$6,1,0)</x:f>
        <x:v>0</x:v>
      </x:c>
      <x:c r="M297" s="17" t="n">
        <x:v>0.2577428313403401</x:v>
      </x:c>
      <x:c r="N297" s="18" t="n">
        <x:v>40</x:v>
      </x:c>
      <x:c r="O297" s="17" t="n">
        <x:v>0.2674710352147133</x:v>
      </x:c>
      <x:c r="P297" s="11" t="n">
        <x:f>1/O297</x:f>
        <x:v>3.738722584287478</x:v>
      </x:c>
      <x:c r="Q297" s="17" t="n">
        <x:v>3.65145747744497</x:v>
      </x:c>
      <x:c r="R297" s="11" t="n">
        <x:f>Q297/P297</x:f>
        <x:v>0.9766591115347117</x:v>
      </x:c>
      <x:c r="S297" s="16" t="n">
        <x:f>COUNTIFS($R$8:$R$437,"&gt;"&amp;R297)+COUNTIFS($R$8:R297,R297)</x:f>
        <x:v>404</x:v>
      </x:c>
      <x:c r="T297" s="16" t="n">
        <x:f>IF(S297&lt;='Wyniki'!$B$6,1,0)</x:f>
        <x:v>0</x:v>
      </x:c>
    </x:row>
    <x:row r="298" ht="22" customHeight="1">
      <x:c r="A298" s="18" t="n">
        <x:v>291</x:v>
      </x:c>
      <x:c r="B298" s="17" t="n">
        <x:v>-1.3254570811899313</x:v>
      </x:c>
      <x:c r="C298" s="17" t="n">
        <x:v>-0.6359912131459331</x:v>
      </x:c>
      <x:c r="D298" s="18" t="n">
        <x:v>0</x:v>
      </x:c>
      <x:c r="E298" s="17" t="n">
        <x:v>0.4472959654227365</x:v>
      </x:c>
      <x:c r="F298" s="18" t="n">
        <x:v>10</x:v>
      </x:c>
      <x:c r="G298" s="17" t="n">
        <x:v>0.40777193984337645</x:v>
      </x:c>
      <x:c r="H298" s="11" t="n">
        <x:f>1/G298</x:f>
        <x:v>2.4523511852828714</x:v>
      </x:c>
      <x:c r="I298" s="17" t="n">
        <x:v>2.857483825613955</x:v>
      </x:c>
      <x:c r="J298" s="11" t="n">
        <x:f>I298/H298</x:f>
        <x:v>1.1652017226416749</x:v>
      </x:c>
      <x:c r="K298" s="16" t="n">
        <x:f>COUNTIFS($J$8:$J$437,"&gt;"&amp;J298)+COUNTIFS($J$8:J298,J298)</x:f>
        <x:v>77</x:v>
      </x:c>
      <x:c r="L298" s="16" t="n">
        <x:f>IF(K298&lt;='Wyniki'!$B$6,1,0)</x:f>
        <x:v>0</x:v>
      </x:c>
      <x:c r="M298" s="17" t="n">
        <x:v>0.8078451308157528</x:v>
      </x:c>
      <x:c r="N298" s="18" t="n">
        <x:v>40</x:v>
      </x:c>
      <x:c r="O298" s="17" t="n">
        <x:v>0.6915881702117543</x:v>
      </x:c>
      <x:c r="P298" s="11" t="n">
        <x:f>1/O298</x:f>
        <x:v>1.4459472314192627</x:v>
      </x:c>
      <x:c r="Q298" s="17" t="n">
        <x:v>2.054928751868339</x:v>
      </x:c>
      <x:c r="R298" s="11" t="n">
        <x:f>Q298/P298</x:f>
        <x:v>1.4211644154201488</x:v>
      </x:c>
      <x:c r="S298" s="16" t="n">
        <x:f>COUNTIFS($R$8:$R$437,"&gt;"&amp;R298)+COUNTIFS($R$8:R298,R298)</x:f>
        <x:v>62</x:v>
      </x:c>
      <x:c r="T298" s="16" t="n">
        <x:f>IF(S298&lt;='Wyniki'!$B$6,1,0)</x:f>
        <x:v>0</x:v>
      </x:c>
    </x:row>
    <x:row r="299" ht="22" customHeight="1">
      <x:c r="A299" s="18" t="n">
        <x:v>292</x:v>
      </x:c>
      <x:c r="B299" s="17" t="n">
        <x:v>-0.1615784060836714</x:v>
      </x:c>
      <x:c r="C299" s="17" t="n">
        <x:v>-0.5896731617847726</x:v>
      </x:c>
      <x:c r="D299" s="18" t="n">
        <x:v>0</x:v>
      </x:c>
      <x:c r="E299" s="17" t="n">
        <x:v>0.13207321536794858</x:v>
      </x:c>
      <x:c r="F299" s="18" t="n">
        <x:v>10</x:v>
      </x:c>
      <x:c r="G299" s="17" t="n">
        <x:v>0.15037315163098225</x:v>
      </x:c>
      <x:c r="H299" s="11" t="n">
        <x:f>1/G299</x:f>
        <x:v>6.650123304285153</x:v>
      </x:c>
      <x:c r="I299" s="17" t="n">
        <x:v>6.529426969866196</x:v>
      </x:c>
      <x:c r="J299" s="11" t="n">
        <x:f>I299/H299</x:f>
        <x:v>0.9818505118031144</x:v>
      </x:c>
      <x:c r="K299" s="16" t="n">
        <x:f>COUNTIFS($J$8:$J$437,"&gt;"&amp;J299)+COUNTIFS($J$8:J299,J299)</x:f>
        <x:v>376</x:v>
      </x:c>
      <x:c r="L299" s="16" t="n">
        <x:f>IF(K299&lt;='Wyniki'!$B$6,1,0)</x:f>
        <x:v>0</x:v>
      </x:c>
      <x:c r="M299" s="17" t="n">
        <x:v>0.32007210255230767</x:v>
      </x:c>
      <x:c r="N299" s="18" t="n">
        <x:v>40</x:v>
      </x:c>
      <x:c r="O299" s="17" t="n">
        <x:v>0.34353279117838675</x:v>
      </x:c>
      <x:c r="P299" s="11" t="n">
        <x:f>1/O299</x:f>
        <x:v>2.9109302683152847</x:v>
      </x:c>
      <x:c r="Q299" s="17" t="n">
        <x:v>2.917227657411935</x:v>
      </x:c>
      <x:c r="R299" s="11" t="n">
        <x:f>Q299/P299</x:f>
        <x:v>1.0021633596535087</x:v>
      </x:c>
      <x:c r="S299" s="16" t="n">
        <x:f>COUNTIFS($R$8:$R$437,"&gt;"&amp;R299)+COUNTIFS($R$8:R299,R299)</x:f>
        <x:v>304</x:v>
      </x:c>
      <x:c r="T299" s="16" t="n">
        <x:f>IF(S299&lt;='Wyniki'!$B$6,1,0)</x:f>
        <x:v>0</x:v>
      </x:c>
    </x:row>
    <x:row r="300" ht="22" customHeight="1">
      <x:c r="A300" s="18" t="n">
        <x:v>293</x:v>
      </x:c>
      <x:c r="B300" s="17" t="n">
        <x:v>0.39291806544686236</x:v>
      </x:c>
      <x:c r="C300" s="17" t="n">
        <x:v>1.0985130919113968</x:v>
      </x:c>
      <x:c r="D300" s="18" t="n">
        <x:v>0</x:v>
      </x:c>
      <x:c r="E300" s="17" t="n">
        <x:v>0.37567091074332987</x:v>
      </x:c>
      <x:c r="F300" s="18" t="n">
        <x:v>10</x:v>
      </x:c>
      <x:c r="G300" s="17" t="n">
        <x:v>0.32746083402559617</x:v>
      </x:c>
      <x:c r="H300" s="11" t="n">
        <x:f>1/G300</x:f>
        <x:v>3.053800320809769</x:v>
      </x:c>
      <x:c r="I300" s="17" t="n">
        <x:v>4.3199972557394215</x:v>
      </x:c>
      <x:c r="J300" s="11" t="n">
        <x:f>I300/H300</x:f>
        <x:v>1.4146299043527175</x:v>
      </x:c>
      <x:c r="K300" s="16" t="n">
        <x:f>COUNTIFS($J$8:$J$437,"&gt;"&amp;J300)+COUNTIFS($J$8:J300,J300)</x:f>
        <x:v>26</x:v>
      </x:c>
      <x:c r="L300" s="16" t="n">
        <x:f>IF(K300&lt;='Wyniki'!$B$6,1,0)</x:f>
        <x:v>1</x:v>
      </x:c>
      <x:c r="M300" s="17" t="n">
        <x:v>0.6608892442429715</x:v>
      </x:c>
      <x:c r="N300" s="18" t="n">
        <x:v>40</x:v>
      </x:c>
      <x:c r="O300" s="17" t="n">
        <x:v>0.5635927792157002</x:v>
      </x:c>
      <x:c r="P300" s="11" t="n">
        <x:f>1/O300</x:f>
        <x:v>1.7743307524124197</x:v>
      </x:c>
      <x:c r="Q300" s="17" t="n">
        <x:v>2.366231383479689</x:v>
      </x:c>
      <x:c r="R300" s="11" t="n">
        <x:f>Q300/P300</x:f>
        <x:v>1.333590921682729</x:v>
      </x:c>
      <x:c r="S300" s="16" t="n">
        <x:f>COUNTIFS($R$8:$R$437,"&gt;"&amp;R300)+COUNTIFS($R$8:R300,R300)</x:f>
        <x:v>75</x:v>
      </x:c>
      <x:c r="T300" s="16" t="n">
        <x:f>IF(S300&lt;='Wyniki'!$B$6,1,0)</x:f>
        <x:v>0</x:v>
      </x:c>
    </x:row>
    <x:row r="301" ht="22" customHeight="1">
      <x:c r="A301" s="18" t="n">
        <x:v>294</x:v>
      </x:c>
      <x:c r="B301" s="17" t="n">
        <x:v>-0.6471380956861161</x:v>
      </x:c>
      <x:c r="C301" s="17" t="n">
        <x:v>-0.46060487224685603</x:v>
      </x:c>
      <x:c r="D301" s="18" t="n">
        <x:v>0</x:v>
      </x:c>
      <x:c r="E301" s="17" t="n">
        <x:v>0.18915033142310564</x:v>
      </x:c>
      <x:c r="F301" s="18" t="n">
        <x:v>10</x:v>
      </x:c>
      <x:c r="G301" s="17" t="n">
        <x:v>0.20249701925909944</x:v>
      </x:c>
      <x:c r="H301" s="11" t="n">
        <x:f>1/G301</x:f>
        <x:v>4.938344295925057</x:v>
      </x:c>
      <x:c r="I301" s="17" t="n">
        <x:v>5.0744785031855955</x:v>
      </x:c>
      <x:c r="J301" s="11" t="n">
        <x:f>I301/H301</x:f>
        <x:v>1.0275667711894596</x:v>
      </x:c>
      <x:c r="K301" s="16" t="n">
        <x:f>COUNTIFS($J$8:$J$437,"&gt;"&amp;J301)+COUNTIFS($J$8:J301,J301)</x:f>
        <x:v>227</x:v>
      </x:c>
      <x:c r="L301" s="16" t="n">
        <x:f>IF(K301&lt;='Wyniki'!$B$6,1,0)</x:f>
        <x:v>0</x:v>
      </x:c>
      <x:c r="M301" s="17" t="n">
        <x:v>0.3758718216701139</x:v>
      </x:c>
      <x:c r="N301" s="18" t="n">
        <x:v>40</x:v>
      </x:c>
      <x:c r="O301" s="17" t="n">
        <x:v>0.3836540957061819</x:v>
      </x:c>
      <x:c r="P301" s="11" t="n">
        <x:f>1/O301</x:f>
        <x:v>2.606514595287525</x:v>
      </x:c>
      <x:c r="Q301" s="17" t="n">
        <x:v>2.6622408171002427</x:v>
      </x:c>
      <x:c r="R301" s="11" t="n">
        <x:f>Q301/P301</x:f>
        <x:v>1.0213795932366805</x:v>
      </x:c>
      <x:c r="S301" s="16" t="n">
        <x:f>COUNTIFS($R$8:$R$437,"&gt;"&amp;R301)+COUNTIFS($R$8:R301,R301)</x:f>
        <x:v>235</x:v>
      </x:c>
      <x:c r="T301" s="16" t="n">
        <x:f>IF(S301&lt;='Wyniki'!$B$6,1,0)</x:f>
        <x:v>0</x:v>
      </x:c>
    </x:row>
    <x:row r="302" ht="22" customHeight="1">
      <x:c r="A302" s="18" t="n">
        <x:v>295</x:v>
      </x:c>
      <x:c r="B302" s="17" t="n">
        <x:v>0.1294966025704617</x:v>
      </x:c>
      <x:c r="C302" s="17" t="n">
        <x:v>0.8861138816747915</x:v>
      </x:c>
      <x:c r="D302" s="18" t="n">
        <x:v>0</x:v>
      </x:c>
      <x:c r="E302" s="17" t="n">
        <x:v>0.19815100568868715</x:v>
      </x:c>
      <x:c r="F302" s="18" t="n">
        <x:v>10</x:v>
      </x:c>
      <x:c r="G302" s="17" t="n">
        <x:v>0.17531002116709346</x:v>
      </x:c>
      <x:c r="H302" s="11" t="n">
        <x:f>1/G302</x:f>
        <x:v>5.704180476065705</x:v>
      </x:c>
      <x:c r="I302" s="17" t="n">
        <x:v>5.766741395662066</x:v>
      </x:c>
      <x:c r="J302" s="11" t="n">
        <x:f>I302/H302</x:f>
        <x:v>1.0109675561386708</x:v>
      </x:c>
      <x:c r="K302" s="16" t="n">
        <x:f>COUNTIFS($J$8:$J$437,"&gt;"&amp;J302)+COUNTIFS($J$8:J302,J302)</x:f>
        <x:v>266</x:v>
      </x:c>
      <x:c r="L302" s="16" t="n">
        <x:f>IF(K302&lt;='Wyniki'!$B$6,1,0)</x:f>
        <x:v>0</x:v>
      </x:c>
      <x:c r="M302" s="17" t="n">
        <x:v>0.46481301667843616</x:v>
      </x:c>
      <x:c r="N302" s="18" t="n">
        <x:v>40</x:v>
      </x:c>
      <x:c r="O302" s="17" t="n">
        <x:v>0.45205632635860643</x:v>
      </x:c>
      <x:c r="P302" s="11" t="n">
        <x:f>1/O302</x:f>
        <x:v>2.212113716127317</x:v>
      </x:c>
      <x:c r="Q302" s="17" t="n">
        <x:v>2.487238667911993</x:v>
      </x:c>
      <x:c r="R302" s="11" t="n">
        <x:f>Q302/P302</x:f>
        <x:v>1.1243719749933694</x:v>
      </x:c>
      <x:c r="S302" s="16" t="n">
        <x:f>COUNTIFS($R$8:$R$437,"&gt;"&amp;R302)+COUNTIFS($R$8:R302,R302)</x:f>
        <x:v>138</x:v>
      </x:c>
      <x:c r="T302" s="16" t="n">
        <x:f>IF(S302&lt;='Wyniki'!$B$6,1,0)</x:f>
        <x:v>0</x:v>
      </x:c>
    </x:row>
    <x:row r="303" ht="22" customHeight="1">
      <x:c r="A303" s="18" t="n">
        <x:v>296</x:v>
      </x:c>
      <x:c r="B303" s="17" t="n">
        <x:v>-0.6723058718969468</x:v>
      </x:c>
      <x:c r="C303" s="17" t="n">
        <x:v>0.1369698672688181</x:v>
      </x:c>
      <x:c r="D303" s="18" t="n">
        <x:v>0</x:v>
      </x:c>
      <x:c r="E303" s="17" t="n">
        <x:v>0.19828419594762392</x:v>
      </x:c>
      <x:c r="F303" s="18" t="n">
        <x:v>10</x:v>
      </x:c>
      <x:c r="G303" s="17" t="n">
        <x:v>0.1809975226974648</x:v>
      </x:c>
      <x:c r="H303" s="11" t="n">
        <x:f>1/G303</x:f>
        <x:v>5.5249374969152925</x:v>
      </x:c>
      <x:c r="I303" s="17" t="n">
        <x:v>5.533147185804468</x:v>
      </x:c>
      <x:c r="J303" s="11" t="n">
        <x:f>I303/H303</x:f>
        <x:v>1.0014859333510577</x:v>
      </x:c>
      <x:c r="K303" s="16" t="n">
        <x:f>COUNTIFS($J$8:$J$437,"&gt;"&amp;J303)+COUNTIFS($J$8:J303,J303)</x:f>
        <x:v>305</x:v>
      </x:c>
      <x:c r="L303" s="16" t="n">
        <x:f>IF(K303&lt;='Wyniki'!$B$6,1,0)</x:f>
        <x:v>0</x:v>
      </x:c>
      <x:c r="M303" s="17" t="n">
        <x:v>0.3600015389244081</x:v>
      </x:c>
      <x:c r="N303" s="18" t="n">
        <x:v>40</x:v>
      </x:c>
      <x:c r="O303" s="17" t="n">
        <x:v>0.38124484860334945</x:v>
      </x:c>
      <x:c r="P303" s="11" t="n">
        <x:f>1/O303</x:f>
        <x:v>2.622986261095449</x:v>
      </x:c>
      <x:c r="Q303" s="17" t="n">
        <x:v>2.763914962172774</x:v>
      </x:c>
      <x:c r="R303" s="11" t="n">
        <x:f>Q303/P303</x:f>
        <x:v>1.0537283413060916</x:v>
      </x:c>
      <x:c r="S303" s="16" t="n">
        <x:f>COUNTIFS($R$8:$R$437,"&gt;"&amp;R303)+COUNTIFS($R$8:R303,R303)</x:f>
        <x:v>193</x:v>
      </x:c>
      <x:c r="T303" s="16" t="n">
        <x:f>IF(S303&lt;='Wyniki'!$B$6,1,0)</x:f>
        <x:v>0</x:v>
      </x:c>
    </x:row>
    <x:row r="304" ht="22" customHeight="1">
      <x:c r="A304" s="18" t="n">
        <x:v>297</x:v>
      </x:c>
      <x:c r="B304" s="17" t="n">
        <x:v>1.0017143679472098</x:v>
      </x:c>
      <x:c r="C304" s="17" t="n">
        <x:v>-0.908467531498597</x:v>
      </x:c>
      <x:c r="D304" s="18" t="n">
        <x:v>0</x:v>
      </x:c>
      <x:c r="E304" s="17" t="n">
        <x:v>0.5291462475544971</x:v>
      </x:c>
      <x:c r="F304" s="18" t="n">
        <x:v>10</x:v>
      </x:c>
      <x:c r="G304" s="17" t="n">
        <x:v>0.4664022282348209</x:v>
      </x:c>
      <x:c r="H304" s="11" t="n">
        <x:f>1/G304</x:f>
        <x:v>2.1440720894166203</x:v>
      </x:c>
      <x:c r="I304" s="17" t="n">
        <x:v>2.73402535657682</x:v>
      </x:c>
      <x:c r="J304" s="11" t="n">
        <x:f>I304/H304</x:f>
        <x:v>1.2751555183579297</x:v>
      </x:c>
      <x:c r="K304" s="16" t="n">
        <x:f>COUNTIFS($J$8:$J$437,"&gt;"&amp;J304)+COUNTIFS($J$8:J304,J304)</x:f>
        <x:v>45</x:v>
      </x:c>
      <x:c r="L304" s="16" t="n">
        <x:f>IF(K304&lt;='Wyniki'!$B$6,1,0)</x:f>
        <x:v>0</x:v>
      </x:c>
      <x:c r="M304" s="17" t="n">
        <x:v>0.8714400262326547</x:v>
      </x:c>
      <x:c r="N304" s="18" t="n">
        <x:v>40</x:v>
      </x:c>
      <x:c r="O304" s="17" t="n">
        <x:v>0.7505825517057844</x:v>
      </x:c>
      <x:c r="P304" s="11" t="n">
        <x:f>1/O304</x:f>
        <x:v>1.3322984896563157</x:v>
      </x:c>
      <x:c r="Q304" s="17" t="n">
        <x:v>2.102987160574187</x:v>
      </x:c>
      <x:c r="R304" s="11" t="n">
        <x:f>Q304/P304</x:f>
        <x:v>1.5784654691882753</x:v>
      </x:c>
      <x:c r="S304" s="16" t="n">
        <x:f>COUNTIFS($R$8:$R$437,"&gt;"&amp;R304)+COUNTIFS($R$8:R304,R304)</x:f>
        <x:v>49</x:v>
      </x:c>
      <x:c r="T304" s="16" t="n">
        <x:f>IF(S304&lt;='Wyniki'!$B$6,1,0)</x:f>
        <x:v>0</x:v>
      </x:c>
    </x:row>
    <x:row r="305" ht="22" customHeight="1">
      <x:c r="A305" s="18" t="n">
        <x:v>298</x:v>
      </x:c>
      <x:c r="B305" s="17" t="n">
        <x:v>-0.7045880637652077</x:v>
      </x:c>
      <x:c r="C305" s="17" t="n">
        <x:v>-0.23298363355346105</x:v>
      </x:c>
      <x:c r="D305" s="18" t="n">
        <x:v>0</x:v>
      </x:c>
      <x:c r="E305" s="17" t="n">
        <x:v>0.21299774305849575</x:v>
      </x:c>
      <x:c r="F305" s="18" t="n">
        <x:v>10</x:v>
      </x:c>
      <x:c r="G305" s="17" t="n">
        <x:v>0.18320043207263995</x:v>
      </x:c>
      <x:c r="H305" s="11" t="n">
        <x:f>1/G305</x:f>
        <x:v>5.458502410100729</x:v>
      </x:c>
      <x:c r="I305" s="17" t="n">
        <x:v>6.029061504363048</x:v>
      </x:c>
      <x:c r="J305" s="11" t="n">
        <x:f>I305/H305</x:f>
        <x:v>1.104526672591831</x:v>
      </x:c>
      <x:c r="K305" s="16" t="n">
        <x:f>COUNTIFS($J$8:$J$437,"&gt;"&amp;J305)+COUNTIFS($J$8:J305,J305)</x:f>
        <x:v>110</x:v>
      </x:c>
      <x:c r="L305" s="16" t="n">
        <x:f>IF(K305&lt;='Wyniki'!$B$6,1,0)</x:f>
        <x:v>0</x:v>
      </x:c>
      <x:c r="M305" s="17" t="n">
        <x:v>0.36057950712401093</x:v>
      </x:c>
      <x:c r="N305" s="18" t="n">
        <x:v>40</x:v>
      </x:c>
      <x:c r="O305" s="17" t="n">
        <x:v>0.3790782176658255</x:v>
      </x:c>
      <x:c r="P305" s="11" t="n">
        <x:f>1/O305</x:f>
        <x:v>2.63797800400535</x:v>
      </x:c>
      <x:c r="Q305" s="17" t="n">
        <x:v>2.663640022509498</x:v>
      </x:c>
      <x:c r="R305" s="11" t="n">
        <x:f>Q305/P305</x:f>
        <x:v>1.0097279122362597</x:v>
      </x:c>
      <x:c r="S305" s="16" t="n">
        <x:f>COUNTIFS($R$8:$R$437,"&gt;"&amp;R305)+COUNTIFS($R$8:R305,R305)</x:f>
        <x:v>271</x:v>
      </x:c>
      <x:c r="T305" s="16" t="n">
        <x:f>IF(S305&lt;='Wyniki'!$B$6,1,0)</x:f>
        <x:v>0</x:v>
      </x:c>
    </x:row>
    <x:row r="306" ht="22" customHeight="1">
      <x:c r="A306" s="18" t="n">
        <x:v>299</x:v>
      </x:c>
      <x:c r="B306" s="17" t="n">
        <x:v>-0.2863236270704761</x:v>
      </x:c>
      <x:c r="C306" s="17" t="n">
        <x:v>0.44693070826450454</x:v>
      </x:c>
      <x:c r="D306" s="18" t="n">
        <x:v>0</x:v>
      </x:c>
      <x:c r="E306" s="17" t="n">
        <x:v>0.18463728763904982</x:v>
      </x:c>
      <x:c r="F306" s="18" t="n">
        <x:v>10</x:v>
      </x:c>
      <x:c r="G306" s="17" t="n">
        <x:v>0.1732137957682009</x:v>
      </x:c>
      <x:c r="H306" s="11" t="n">
        <x:f>1/G306</x:f>
        <x:v>5.773212206135275</x:v>
      </x:c>
      <x:c r="I306" s="17" t="n">
        <x:v>5.919435101730255</x:v>
      </x:c>
      <x:c r="J306" s="11" t="n">
        <x:f>I306/H306</x:f>
        <x:v>1.025327822774224</x:v>
      </x:c>
      <x:c r="K306" s="16" t="n">
        <x:f>COUNTIFS($J$8:$J$437,"&gt;"&amp;J306)+COUNTIFS($J$8:J306,J306)</x:f>
        <x:v>229</x:v>
      </x:c>
      <x:c r="L306" s="16" t="n">
        <x:f>IF(K306&lt;='Wyniki'!$B$6,1,0)</x:f>
        <x:v>0</x:v>
      </x:c>
      <x:c r="M306" s="17" t="n">
        <x:v>0.3469418683170355</x:v>
      </x:c>
      <x:c r="N306" s="18" t="n">
        <x:v>40</x:v>
      </x:c>
      <x:c r="O306" s="17" t="n">
        <x:v>0.3317553548242881</x:v>
      </x:c>
      <x:c r="P306" s="11" t="n">
        <x:f>1/O306</x:f>
        <x:v>3.0142693567964955</x:v>
      </x:c>
      <x:c r="Q306" s="17" t="n">
        <x:v>3.131582236090341</x:v>
      </x:c>
      <x:c r="R306" s="11" t="n">
        <x:f>Q306/P306</x:f>
        <x:v>1.0389191758955885</x:v>
      </x:c>
      <x:c r="S306" s="16" t="n">
        <x:f>COUNTIFS($R$8:$R$437,"&gt;"&amp;R306)+COUNTIFS($R$8:R306,R306)</x:f>
        <x:v>211</x:v>
      </x:c>
      <x:c r="T306" s="16" t="n">
        <x:f>IF(S306&lt;='Wyniki'!$B$6,1,0)</x:f>
        <x:v>0</x:v>
      </x:c>
    </x:row>
    <x:row r="307" ht="22" customHeight="1">
      <x:c r="A307" s="18" t="n">
        <x:v>300</x:v>
      </x:c>
      <x:c r="B307" s="17" t="n">
        <x:v>0.13291284590146094</x:v>
      </x:c>
      <x:c r="C307" s="17" t="n">
        <x:v>-0.9762291328031706</x:v>
      </x:c>
      <x:c r="D307" s="18" t="n">
        <x:v>0</x:v>
      </x:c>
      <x:c r="E307" s="17" t="n">
        <x:v>0.301769243168091</x:v>
      </x:c>
      <x:c r="F307" s="18" t="n">
        <x:v>10</x:v>
      </x:c>
      <x:c r="G307" s="17" t="n">
        <x:v>0.29696263316825655</x:v>
      </x:c>
      <x:c r="H307" s="11" t="n">
        <x:f>1/G307</x:f>
        <x:v>3.367427037304752</x:v>
      </x:c>
      <x:c r="I307" s="17" t="n">
        <x:v>3.8763139733153493</x:v>
      </x:c>
      <x:c r="J307" s="11" t="n">
        <x:f>I307/H307</x:f>
        <x:v>1.151120404502633</x:v>
      </x:c>
      <x:c r="K307" s="16" t="n">
        <x:f>COUNTIFS($J$8:$J$437,"&gt;"&amp;J307)+COUNTIFS($J$8:J307,J307)</x:f>
        <x:v>83</x:v>
      </x:c>
      <x:c r="L307" s="16" t="n">
        <x:f>IF(K307&lt;='Wyniki'!$B$6,1,0)</x:f>
        <x:v>0</x:v>
      </x:c>
      <x:c r="M307" s="17" t="n">
        <x:v>0.5268870715139093</x:v>
      </x:c>
      <x:c r="N307" s="18" t="n">
        <x:v>40</x:v>
      </x:c>
      <x:c r="O307" s="17" t="n">
        <x:v>0.4845248077306188</x:v>
      </x:c>
      <x:c r="P307" s="11" t="n">
        <x:f>1/O307</x:f>
        <x:v>2.0638778119199417</x:v>
      </x:c>
      <x:c r="Q307" s="17" t="n">
        <x:v>2.627902040441973</x:v>
      </x:c>
      <x:c r="R307" s="11" t="n">
        <x:f>Q307/P307</x:f>
        <x:v>1.2732837308800478</x:v>
      </x:c>
      <x:c r="S307" s="16" t="n">
        <x:f>COUNTIFS($R$8:$R$437,"&gt;"&amp;R307)+COUNTIFS($R$8:R307,R307)</x:f>
        <x:v>89</x:v>
      </x:c>
      <x:c r="T307" s="16" t="n">
        <x:f>IF(S307&lt;='Wyniki'!$B$6,1,0)</x:f>
        <x:v>0</x:v>
      </x:c>
    </x:row>
    <x:row r="308" ht="22" customHeight="1">
      <x:c r="A308" s="18" t="n">
        <x:v>301</x:v>
      </x:c>
      <x:c r="B308" s="17" t="n">
        <x:v>0.283475721595446</x:v>
      </x:c>
      <x:c r="C308" s="17" t="n">
        <x:v>-0.3176463880456078</x:v>
      </x:c>
      <x:c r="D308" s="18" t="n">
        <x:v>0</x:v>
      </x:c>
      <x:c r="E308" s="17" t="n">
        <x:v>0.15626055273232722</x:v>
      </x:c>
      <x:c r="F308" s="18" t="n">
        <x:v>10</x:v>
      </x:c>
      <x:c r="G308" s="17" t="n">
        <x:v>0.14585040338911748</x:v>
      </x:c>
      <x:c r="H308" s="11" t="n">
        <x:f>1/G308</x:f>
        <x:v>6.8563403100921025</x:v>
      </x:c>
      <x:c r="I308" s="17" t="n">
        <x:v>7.059260831318875</x:v>
      </x:c>
      <x:c r="J308" s="11" t="n">
        <x:f>I308/H308</x:f>
        <x:v>1.0295960398768547</x:v>
      </x:c>
      <x:c r="K308" s="16" t="n">
        <x:f>COUNTIFS($J$8:$J$437,"&gt;"&amp;J308)+COUNTIFS($J$8:J308,J308)</x:f>
        <x:v>219</x:v>
      </x:c>
      <x:c r="L308" s="16" t="n">
        <x:f>IF(K308&lt;='Wyniki'!$B$6,1,0)</x:f>
        <x:v>0</x:v>
      </x:c>
      <x:c r="M308" s="17" t="n">
        <x:v>0.27949918641848476</x:v>
      </x:c>
      <x:c r="N308" s="18" t="n">
        <x:v>40</x:v>
      </x:c>
      <x:c r="O308" s="17" t="n">
        <x:v>0.2994264653477596</x:v>
      </x:c>
      <x:c r="P308" s="11" t="n">
        <x:f>1/O308</x:f>
        <x:v>3.339718146953313</x:v>
      </x:c>
      <x:c r="Q308" s="17" t="n">
        <x:v>3.355924195500303</x:v>
      </x:c>
      <x:c r="R308" s="11" t="n">
        <x:f>Q308/P308</x:f>
        <x:v>1.0048525198336793</x:v>
      </x:c>
      <x:c r="S308" s="16" t="n">
        <x:f>COUNTIFS($R$8:$R$437,"&gt;"&amp;R308)+COUNTIFS($R$8:R308,R308)</x:f>
        <x:v>291</x:v>
      </x:c>
      <x:c r="T308" s="16" t="n">
        <x:f>IF(S308&lt;='Wyniki'!$B$6,1,0)</x:f>
        <x:v>0</x:v>
      </x:c>
    </x:row>
    <x:row r="309" ht="22" customHeight="1">
      <x:c r="A309" s="18" t="n">
        <x:v>302</x:v>
      </x:c>
      <x:c r="B309" s="17" t="n">
        <x:v>0.7009459693176816</x:v>
      </x:c>
      <x:c r="C309" s="17" t="n">
        <x:v>-0.34517314504030583</x:v>
      </x:c>
      <x:c r="D309" s="18" t="n">
        <x:v>0</x:v>
      </x:c>
      <x:c r="E309" s="17" t="n">
        <x:v>0.22836794542159056</x:v>
      </x:c>
      <x:c r="F309" s="18" t="n">
        <x:v>10</x:v>
      </x:c>
      <x:c r="G309" s="17" t="n">
        <x:v>0.22882622759780857</x:v>
      </x:c>
      <x:c r="H309" s="11" t="n">
        <x:f>1/G309</x:f>
        <x:v>4.3701284179610225</x:v>
      </x:c>
      <x:c r="I309" s="17" t="n">
        <x:v>4.606852384175641</x:v>
      </x:c>
      <x:c r="J309" s="11" t="n">
        <x:f>I309/H309</x:f>
        <x:v>1.0541686521708822</x:v>
      </x:c>
      <x:c r="K309" s="16" t="n">
        <x:f>COUNTIFS($J$8:$J$437,"&gt;"&amp;J309)+COUNTIFS($J$8:J309,J309)</x:f>
        <x:v>171</x:v>
      </x:c>
      <x:c r="L309" s="16" t="n">
        <x:f>IF(K309&lt;='Wyniki'!$B$6,1,0)</x:f>
        <x:v>0</x:v>
      </x:c>
      <x:c r="M309" s="17" t="n">
        <x:v>0.44484422757453146</x:v>
      </x:c>
      <x:c r="N309" s="18" t="n">
        <x:v>40</x:v>
      </x:c>
      <x:c r="O309" s="17" t="n">
        <x:v>0.4319321849964378</x:v>
      </x:c>
      <x:c r="P309" s="11" t="n">
        <x:f>1/O309</x:f>
        <x:v>2.3151782495862103</x:v>
      </x:c>
      <x:c r="Q309" s="17" t="n">
        <x:v>2.7031916051224982</x:v>
      </x:c>
      <x:c r="R309" s="11" t="n">
        <x:f>Q309/P309</x:f>
        <x:v>1.1675954564645885</x:v>
      </x:c>
      <x:c r="S309" s="16" t="n">
        <x:f>COUNTIFS($R$8:$R$437,"&gt;"&amp;R309)+COUNTIFS($R$8:R309,R309)</x:f>
        <x:v>125</x:v>
      </x:c>
      <x:c r="T309" s="16" t="n">
        <x:f>IF(S309&lt;='Wyniki'!$B$6,1,0)</x:f>
        <x:v>0</x:v>
      </x:c>
    </x:row>
    <x:row r="310" ht="22" customHeight="1">
      <x:c r="A310" s="18" t="n">
        <x:v>303</x:v>
      </x:c>
      <x:c r="B310" s="17" t="n">
        <x:v>-0.35013840570622967</x:v>
      </x:c>
      <x:c r="C310" s="17" t="n">
        <x:v>0.2976223859424923</x:v>
      </x:c>
      <x:c r="D310" s="18" t="n">
        <x:v>0</x:v>
      </x:c>
      <x:c r="E310" s="17" t="n">
        <x:v>0.12743979481671264</x:v>
      </x:c>
      <x:c r="F310" s="18" t="n">
        <x:v>10</x:v>
      </x:c>
      <x:c r="G310" s="17" t="n">
        <x:v>0.13615723257602647</x:v>
      </x:c>
      <x:c r="H310" s="11" t="n">
        <x:f>1/G310</x:f>
        <x:v>7.3444500969981705</x:v>
      </x:c>
      <x:c r="I310" s="17" t="n">
        <x:v>7.0968534426004695</x:v>
      </x:c>
      <x:c r="J310" s="11" t="n">
        <x:f>I310/H310</x:f>
        <x:v>0.9662879247421262</x:v>
      </x:c>
      <x:c r="K310" s="16" t="n">
        <x:f>COUNTIFS($J$8:$J$437,"&gt;"&amp;J310)+COUNTIFS($J$8:J310,J310)</x:f>
        <x:v>408</x:v>
      </x:c>
      <x:c r="L310" s="16" t="n">
        <x:f>IF(K310&lt;='Wyniki'!$B$6,1,0)</x:f>
        <x:v>0</x:v>
      </x:c>
      <x:c r="M310" s="17" t="n">
        <x:v>0.29999301731756517</x:v>
      </x:c>
      <x:c r="N310" s="18" t="n">
        <x:v>40</x:v>
      </x:c>
      <x:c r="O310" s="17" t="n">
        <x:v>0.31118367149465376</x:v>
      </x:c>
      <x:c r="P310" s="11" t="n">
        <x:f>1/O310</x:f>
        <x:v>3.213536221861758</x:v>
      </x:c>
      <x:c r="Q310" s="17" t="n">
        <x:v>3.2833057898091114</x:v>
      </x:c>
      <x:c r="R310" s="11" t="n">
        <x:f>Q310/P310</x:f>
        <x:v>1.0217111503124532</x:v>
      </x:c>
      <x:c r="S310" s="16" t="n">
        <x:f>COUNTIFS($R$8:$R$437,"&gt;"&amp;R310)+COUNTIFS($R$8:R310,R310)</x:f>
        <x:v>234</x:v>
      </x:c>
      <x:c r="T310" s="16" t="n">
        <x:f>IF(S310&lt;='Wyniki'!$B$6,1,0)</x:f>
        <x:v>0</x:v>
      </x:c>
    </x:row>
    <x:row r="311" ht="22" customHeight="1">
      <x:c r="A311" s="18" t="n">
        <x:v>304</x:v>
      </x:c>
      <x:c r="B311" s="17" t="n">
        <x:v>0.4196095652853152</x:v>
      </x:c>
      <x:c r="C311" s="17" t="n">
        <x:v>0.246454650164912</x:v>
      </x:c>
      <x:c r="D311" s="18" t="n">
        <x:v>0</x:v>
      </x:c>
      <x:c r="E311" s="17" t="n">
        <x:v>0.1046056390122677</x:v>
      </x:c>
      <x:c r="F311" s="18" t="n">
        <x:v>10</x:v>
      </x:c>
      <x:c r="G311" s="17" t="n">
        <x:v>0.11602990811352916</x:v>
      </x:c>
      <x:c r="H311" s="11" t="n">
        <x:f>1/G311</x:f>
        <x:v>8.61846756804765</x:v>
      </x:c>
      <x:c r="I311" s="17" t="n">
        <x:v>8.351000553004544</x:v>
      </x:c>
      <x:c r="J311" s="11" t="n">
        <x:f>I311/H311</x:f>
        <x:v>0.9689658268211485</x:v>
      </x:c>
      <x:c r="K311" s="16" t="n">
        <x:f>COUNTIFS($J$8:$J$437,"&gt;"&amp;J311)+COUNTIFS($J$8:J311,J311)</x:f>
        <x:v>405</x:v>
      </x:c>
      <x:c r="L311" s="16" t="n">
        <x:f>IF(K311&lt;='Wyniki'!$B$6,1,0)</x:f>
        <x:v>0</x:v>
      </x:c>
      <x:c r="M311" s="17" t="n">
        <x:v>0.2709428375749268</x:v>
      </x:c>
      <x:c r="N311" s="18" t="n">
        <x:v>40</x:v>
      </x:c>
      <x:c r="O311" s="17" t="n">
        <x:v>0.2831731934181996</x:v>
      </x:c>
      <x:c r="P311" s="11" t="n">
        <x:f>1/O311</x:f>
        <x:v>3.5314077152888084</x:v>
      </x:c>
      <x:c r="Q311" s="17" t="n">
        <x:v>3.470420783534183</x:v>
      </x:c>
      <x:c r="R311" s="11" t="n">
        <x:f>Q311/P311</x:f>
        <x:v>0.982730135778265</x:v>
      </x:c>
      <x:c r="S311" s="16" t="n">
        <x:f>COUNTIFS($R$8:$R$437,"&gt;"&amp;R311)+COUNTIFS($R$8:R311,R311)</x:f>
        <x:v>377</x:v>
      </x:c>
      <x:c r="T311" s="16" t="n">
        <x:f>IF(S311&lt;='Wyniki'!$B$6,1,0)</x:f>
        <x:v>0</x:v>
      </x:c>
    </x:row>
    <x:row r="312" ht="22" customHeight="1">
      <x:c r="A312" s="18" t="n">
        <x:v>305</x:v>
      </x:c>
      <x:c r="B312" s="17" t="n">
        <x:v>-0.9270785245616446</x:v>
      </x:c>
      <x:c r="C312" s="17" t="n">
        <x:v>0.2959189419605381</x:v>
      </x:c>
      <x:c r="D312" s="18" t="n">
        <x:v>0</x:v>
      </x:c>
      <x:c r="E312" s="17" t="n">
        <x:v>0.30028971492736933</x:v>
      </x:c>
      <x:c r="F312" s="18" t="n">
        <x:v>10</x:v>
      </x:c>
      <x:c r="G312" s="17" t="n">
        <x:v>0.2678181467443912</x:v>
      </x:c>
      <x:c r="H312" s="11" t="n">
        <x:f>1/G312</x:f>
        <x:v>3.7338769316270857</x:v>
      </x:c>
      <x:c r="I312" s="17" t="n">
        <x:v>4.221029712322999</x:v>
      </x:c>
      <x:c r="J312" s="11" t="n">
        <x:f>I312/H312</x:f>
        <x:v>1.1304683549073564</x:v>
      </x:c>
      <x:c r="K312" s="16" t="n">
        <x:f>COUNTIFS($J$8:$J$437,"&gt;"&amp;J312)+COUNTIFS($J$8:J312,J312)</x:f>
        <x:v>94</x:v>
      </x:c>
      <x:c r="L312" s="16" t="n">
        <x:f>IF(K312&lt;='Wyniki'!$B$6,1,0)</x:f>
        <x:v>0</x:v>
      </x:c>
      <x:c r="M312" s="17" t="n">
        <x:v>0.5440419716253105</x:v>
      </x:c>
      <x:c r="N312" s="18" t="n">
        <x:v>40</x:v>
      </x:c>
      <x:c r="O312" s="17" t="n">
        <x:v>0.49085290130706866</x:v>
      </x:c>
      <x:c r="P312" s="11" t="n">
        <x:f>1/O312</x:f>
        <x:v>2.037270223598858</x:v>
      </x:c>
      <x:c r="Q312" s="17" t="n">
        <x:v>2.4528766966343345</x:v>
      </x:c>
      <x:c r="R312" s="11" t="n">
        <x:f>Q312/P312</x:f>
        <x:v>1.2040016430914617</x:v>
      </x:c>
      <x:c r="S312" s="16" t="n">
        <x:f>COUNTIFS($R$8:$R$437,"&gt;"&amp;R312)+COUNTIFS($R$8:R312,R312)</x:f>
        <x:v>113</x:v>
      </x:c>
      <x:c r="T312" s="16" t="n">
        <x:f>IF(S312&lt;='Wyniki'!$B$6,1,0)</x:f>
        <x:v>0</x:v>
      </x:c>
    </x:row>
    <x:row r="313" ht="22" customHeight="1">
      <x:c r="A313" s="18" t="n">
        <x:v>306</x:v>
      </x:c>
      <x:c r="B313" s="17" t="n">
        <x:v>-0.5688694284209195</x:v>
      </x:c>
      <x:c r="C313" s="17" t="n">
        <x:v>0.12940186137354492</x:v>
      </x:c>
      <x:c r="D313" s="18" t="n">
        <x:v>0</x:v>
      </x:c>
      <x:c r="E313" s="17" t="n">
        <x:v>0.16448910062725872</x:v>
      </x:c>
      <x:c r="F313" s="18" t="n">
        <x:v>10</x:v>
      </x:c>
      <x:c r="G313" s="17" t="n">
        <x:v>0.1754132989942997</x:v>
      </x:c>
      <x:c r="H313" s="11" t="n">
        <x:f>1/G313</x:f>
        <x:v>5.700822034209028</x:v>
      </x:c>
      <x:c r="I313" s="17" t="n">
        <x:v>5.9863259389085055</x:v>
      </x:c>
      <x:c r="J313" s="11" t="n">
        <x:f>I313/H313</x:f>
        <x:v>1.0500811817990894</x:v>
      </x:c>
      <x:c r="K313" s="16" t="n">
        <x:f>COUNTIFS($J$8:$J$437,"&gt;"&amp;J313)+COUNTIFS($J$8:J313,J313)</x:f>
        <x:v>177</x:v>
      </x:c>
      <x:c r="L313" s="16" t="n">
        <x:f>IF(K313&lt;='Wyniki'!$B$6,1,0)</x:f>
        <x:v>0</x:v>
      </x:c>
      <x:c r="M313" s="17" t="n">
        <x:v>0.33926506633919107</x:v>
      </x:c>
      <x:c r="N313" s="18" t="n">
        <x:v>40</x:v>
      </x:c>
      <x:c r="O313" s="17" t="n">
        <x:v>0.3387957513215339</x:v>
      </x:c>
      <x:c r="P313" s="11" t="n">
        <x:f>1/O313</x:f>
        <x:v>2.95163087523772</x:v>
      </x:c>
      <x:c r="Q313" s="17" t="n">
        <x:v>3.006155110337475</x:v>
      </x:c>
      <x:c r="R313" s="11" t="n">
        <x:f>Q313/P313</x:f>
        <x:v>1.0184725791958535</x:v>
      </x:c>
      <x:c r="S313" s="16" t="n">
        <x:f>COUNTIFS($R$8:$R$437,"&gt;"&amp;R313)+COUNTIFS($R$8:R313,R313)</x:f>
        <x:v>245</x:v>
      </x:c>
      <x:c r="T313" s="16" t="n">
        <x:f>IF(S313&lt;='Wyniki'!$B$6,1,0)</x:f>
        <x:v>0</x:v>
      </x:c>
    </x:row>
    <x:row r="314" ht="22" customHeight="1">
      <x:c r="A314" s="18" t="n">
        <x:v>307</x:v>
      </x:c>
      <x:c r="B314" s="17" t="n">
        <x:v>-0.7830539394694832</x:v>
      </x:c>
      <x:c r="C314" s="17" t="n">
        <x:v>0.24547718114868503</x:v>
      </x:c>
      <x:c r="D314" s="18" t="n">
        <x:v>0</x:v>
      </x:c>
      <x:c r="E314" s="17" t="n">
        <x:v>0.18365983584188594</x:v>
      </x:c>
      <x:c r="F314" s="18" t="n">
        <x:v>10</x:v>
      </x:c>
      <x:c r="G314" s="17" t="n">
        <x:v>0.23778812268872634</x:v>
      </x:c>
      <x:c r="H314" s="11" t="n">
        <x:f>1/G314</x:f>
        <x:v>4.20542451276693</x:v>
      </x:c>
      <x:c r="I314" s="17" t="n">
        <x:v>4.592115179003416</x:v>
      </x:c>
      <x:c r="J314" s="11" t="n">
        <x:f>I314/H314</x:f>
        <x:v>1.091950447585627</x:v>
      </x:c>
      <x:c r="K314" s="16" t="n">
        <x:f>COUNTIFS($J$8:$J$437,"&gt;"&amp;J314)+COUNTIFS($J$8:J314,J314)</x:f>
        <x:v>125</x:v>
      </x:c>
      <x:c r="L314" s="16" t="n">
        <x:f>IF(K314&lt;='Wyniki'!$B$6,1,0)</x:f>
        <x:v>0</x:v>
      </x:c>
      <x:c r="M314" s="17" t="n">
        <x:v>0.4391360968992441</x:v>
      </x:c>
      <x:c r="N314" s="18" t="n">
        <x:v>40</x:v>
      </x:c>
      <x:c r="O314" s="17" t="n">
        <x:v>0.4221629416510231</x:v>
      </x:c>
      <x:c r="P314" s="11" t="n">
        <x:f>1/O314</x:f>
        <x:v>2.3687536288456137</x:v>
      </x:c>
      <x:c r="Q314" s="17" t="n">
        <x:v>2.6624678881803447</x:v>
      </x:c>
      <x:c r="R314" s="11" t="n">
        <x:f>Q314/P314</x:f>
        <x:v>1.1239952757256015</x:v>
      </x:c>
      <x:c r="S314" s="16" t="n">
        <x:f>COUNTIFS($R$8:$R$437,"&gt;"&amp;R314)+COUNTIFS($R$8:R314,R314)</x:f>
        <x:v>140</x:v>
      </x:c>
      <x:c r="T314" s="16" t="n">
        <x:f>IF(S314&lt;='Wyniki'!$B$6,1,0)</x:f>
        <x:v>0</x:v>
      </x:c>
    </x:row>
    <x:row r="315" ht="22" customHeight="1">
      <x:c r="A315" s="18" t="n">
        <x:v>308</x:v>
      </x:c>
      <x:c r="B315" s="17" t="n">
        <x:v>-0.44362939736905493</x:v>
      </x:c>
      <x:c r="C315" s="17" t="n">
        <x:v>-0.705449057643287</x:v>
      </x:c>
      <x:c r="D315" s="18" t="n">
        <x:v>0</x:v>
      </x:c>
      <x:c r="E315" s="17" t="n">
        <x:v>0.1773516175087375</x:v>
      </x:c>
      <x:c r="F315" s="18" t="n">
        <x:v>10</x:v>
      </x:c>
      <x:c r="G315" s="17" t="n">
        <x:v>0.1734970779544725</x:v>
      </x:c>
      <x:c r="H315" s="11" t="n">
        <x:f>1/G315</x:f>
        <x:v>5.763785833110173</x:v>
      </x:c>
      <x:c r="I315" s="17" t="n">
        <x:v>5.859262963070894</x:v>
      </x:c>
      <x:c r="J315" s="11" t="n">
        <x:f>I315/H315</x:f>
        <x:v>1.0165650030596645</x:v>
      </x:c>
      <x:c r="K315" s="16" t="n">
        <x:f>COUNTIFS($J$8:$J$437,"&gt;"&amp;J315)+COUNTIFS($J$8:J315,J315)</x:f>
        <x:v>249</x:v>
      </x:c>
      <x:c r="L315" s="16" t="n">
        <x:f>IF(K315&lt;='Wyniki'!$B$6,1,0)</x:f>
        <x:v>0</x:v>
      </x:c>
      <x:c r="M315" s="17" t="n">
        <x:v>0.4289340165496899</x:v>
      </x:c>
      <x:c r="N315" s="18" t="n">
        <x:v>40</x:v>
      </x:c>
      <x:c r="O315" s="17" t="n">
        <x:v>0.38644909263641525</x:v>
      </x:c>
      <x:c r="P315" s="11" t="n">
        <x:f>1/O315</x:f>
        <x:v>2.587662952390044</x:v>
      </x:c>
      <x:c r="Q315" s="17" t="n">
        <x:v>2.683952540568561</x:v>
      </x:c>
      <x:c r="R315" s="11" t="n">
        <x:f>Q315/P315</x:f>
        <x:v>1.037211023981922</x:v>
      </x:c>
      <x:c r="S315" s="16" t="n">
        <x:f>COUNTIFS($R$8:$R$437,"&gt;"&amp;R315)+COUNTIFS($R$8:R315,R315)</x:f>
        <x:v>213</x:v>
      </x:c>
      <x:c r="T315" s="16" t="n">
        <x:f>IF(S315&lt;='Wyniki'!$B$6,1,0)</x:f>
        <x:v>0</x:v>
      </x:c>
    </x:row>
    <x:row r="316" ht="22" customHeight="1">
      <x:c r="A316" s="18" t="n">
        <x:v>309</x:v>
      </x:c>
      <x:c r="B316" s="17" t="n">
        <x:v>0.39260107506531977</x:v>
      </x:c>
      <x:c r="C316" s="17" t="n">
        <x:v>0.1329044869222132</x:v>
      </x:c>
      <x:c r="D316" s="18" t="n">
        <x:v>0</x:v>
      </x:c>
      <x:c r="E316" s="17" t="n">
        <x:v>0.09764204156033243</x:v>
      </x:c>
      <x:c r="F316" s="18" t="n">
        <x:v>10</x:v>
      </x:c>
      <x:c r="G316" s="17" t="n">
        <x:v>0.12105897669809093</x:v>
      </x:c>
      <x:c r="H316" s="11" t="n">
        <x:f>1/G316</x:f>
        <x:v>8.260436584507902</x:v>
      </x:c>
      <x:c r="I316" s="17" t="n">
        <x:v>8.37846164514712</x:v>
      </x:c>
      <x:c r="J316" s="11" t="n">
        <x:f>I316/H316</x:f>
        <x:v>1.0142879930657138</x:v>
      </x:c>
      <x:c r="K316" s="16" t="n">
        <x:f>COUNTIFS($J$8:$J$437,"&gt;"&amp;J316)+COUNTIFS($J$8:J316,J316)</x:f>
        <x:v>253</x:v>
      </x:c>
      <x:c r="L316" s="16" t="n">
        <x:f>IF(K316&lt;='Wyniki'!$B$6,1,0)</x:f>
        <x:v>0</x:v>
      </x:c>
      <x:c r="M316" s="17" t="n">
        <x:v>0.2587699664033903</x:v>
      </x:c>
      <x:c r="N316" s="18" t="n">
        <x:v>40</x:v>
      </x:c>
      <x:c r="O316" s="17" t="n">
        <x:v>0.27277472473289055</x:v>
      </x:c>
      <x:c r="P316" s="11" t="n">
        <x:f>1/O316</x:f>
        <x:v>3.666028811794168</x:v>
      </x:c>
      <x:c r="Q316" s="17" t="n">
        <x:v>3.5597399618202923</x:v>
      </x:c>
      <x:c r="R316" s="11" t="n">
        <x:f>Q316/P316</x:f>
        <x:v>0.9710070882062005</x:v>
      </x:c>
      <x:c r="S316" s="16" t="n">
        <x:f>COUNTIFS($R$8:$R$437,"&gt;"&amp;R316)+COUNTIFS($R$8:R316,R316)</x:f>
        <x:v>422</x:v>
      </x:c>
      <x:c r="T316" s="16" t="n">
        <x:f>IF(S316&lt;='Wyniki'!$B$6,1,0)</x:f>
        <x:v>0</x:v>
      </x:c>
    </x:row>
    <x:row r="317" ht="22" customHeight="1">
      <x:c r="A317" s="18" t="n">
        <x:v>310</x:v>
      </x:c>
      <x:c r="B317" s="17" t="n">
        <x:v>-0.33768724076609347</x:v>
      </x:c>
      <x:c r="C317" s="17" t="n">
        <x:v>0.7981483669615854</x:v>
      </x:c>
      <x:c r="D317" s="18" t="n">
        <x:v>0</x:v>
      </x:c>
      <x:c r="E317" s="17" t="n">
        <x:v>0.29261407385684435</x:v>
      </x:c>
      <x:c r="F317" s="18" t="n">
        <x:v>10</x:v>
      </x:c>
      <x:c r="G317" s="17" t="n">
        <x:v>0.2305929624149563</x:v>
      </x:c>
      <x:c r="H317" s="11" t="n">
        <x:f>1/G317</x:f>
        <x:v>4.336645791472515</x:v>
      </x:c>
      <x:c r="I317" s="17" t="n">
        <x:v>4.867039853639431</x:v>
      </x:c>
      <x:c r="J317" s="11" t="n">
        <x:f>I317/H317</x:f>
        <x:v>1.1223051380423716</x:v>
      </x:c>
      <x:c r="K317" s="16" t="n">
        <x:f>COUNTIFS($J$8:$J$437,"&gt;"&amp;J317)+COUNTIFS($J$8:J317,J317)</x:f>
        <x:v>101</x:v>
      </x:c>
      <x:c r="L317" s="16" t="n">
        <x:f>IF(K317&lt;='Wyniki'!$B$6,1,0)</x:f>
        <x:v>0</x:v>
      </x:c>
      <x:c r="M317" s="17" t="n">
        <x:v>0.48376050184173597</x:v>
      </x:c>
      <x:c r="N317" s="18" t="n">
        <x:v>40</x:v>
      </x:c>
      <x:c r="O317" s="17" t="n">
        <x:v>0.4687752418938156</x:v>
      </x:c>
      <x:c r="P317" s="11" t="n">
        <x:f>1/O317</x:f>
        <x:v>2.1332184608557347</x:v>
      </x:c>
      <x:c r="Q317" s="17" t="n">
        <x:v>2.5144167025651134</x:v>
      </x:c>
      <x:c r="R317" s="11" t="n">
        <x:f>Q317/P317</x:f>
        <x:v>1.1786962979668112</x:v>
      </x:c>
      <x:c r="S317" s="16" t="n">
        <x:f>COUNTIFS($R$8:$R$437,"&gt;"&amp;R317)+COUNTIFS($R$8:R317,R317)</x:f>
        <x:v>122</x:v>
      </x:c>
      <x:c r="T317" s="16" t="n">
        <x:f>IF(S317&lt;='Wyniki'!$B$6,1,0)</x:f>
        <x:v>0</x:v>
      </x:c>
    </x:row>
    <x:row r="318" ht="22" customHeight="1">
      <x:c r="A318" s="18" t="n">
        <x:v>311</x:v>
      </x:c>
      <x:c r="B318" s="17" t="n">
        <x:v>-0.24235883186335835</x:v>
      </x:c>
      <x:c r="C318" s="17" t="n">
        <x:v>0.017659220684014067</x:v>
      </x:c>
      <x:c r="D318" s="18" t="n">
        <x:v>0</x:v>
      </x:c>
      <x:c r="E318" s="17" t="n">
        <x:v>0.13737680013038675</x:v>
      </x:c>
      <x:c r="F318" s="18" t="n">
        <x:v>10</x:v>
      </x:c>
      <x:c r="G318" s="17" t="n">
        <x:v>0.13874382235893673</x:v>
      </x:c>
      <x:c r="H318" s="11" t="n">
        <x:f>1/G318</x:f>
        <x:v>7.207528111867593</x:v>
      </x:c>
      <x:c r="I318" s="17" t="n">
        <x:v>8.003319242682192</x:v>
      </x:c>
      <x:c r="J318" s="11" t="n">
        <x:f>I318/H318</x:f>
        <x:v>1.110411103288558</x:v>
      </x:c>
      <x:c r="K318" s="16" t="n">
        <x:f>COUNTIFS($J$8:$J$437,"&gt;"&amp;J318)+COUNTIFS($J$8:J318,J318)</x:f>
        <x:v>107</x:v>
      </x:c>
      <x:c r="L318" s="16" t="n">
        <x:f>IF(K318&lt;='Wyniki'!$B$6,1,0)</x:f>
        <x:v>0</x:v>
      </x:c>
      <x:c r="M318" s="17" t="n">
        <x:v>0.26257929166218585</x:v>
      </x:c>
      <x:c r="N318" s="18" t="n">
        <x:v>40</x:v>
      </x:c>
      <x:c r="O318" s="17" t="n">
        <x:v>0.27444446099649467</x:v>
      </x:c>
      <x:c r="P318" s="11" t="n">
        <x:f>1/O318</x:f>
        <x:v>3.6437244765991923</x:v>
      </x:c>
      <x:c r="Q318" s="17" t="n">
        <x:v>3.5885765437604733</x:v>
      </x:c>
      <x:c r="R318" s="11" t="n">
        <x:f>Q318/P318</x:f>
        <x:v>0.9848649552970069</x:v>
      </x:c>
      <x:c r="S318" s="16" t="n">
        <x:f>COUNTIFS($R$8:$R$437,"&gt;"&amp;R318)+COUNTIFS($R$8:R318,R318)</x:f>
        <x:v>368</x:v>
      </x:c>
      <x:c r="T318" s="16" t="n">
        <x:f>IF(S318&lt;='Wyniki'!$B$6,1,0)</x:f>
        <x:v>0</x:v>
      </x:c>
    </x:row>
    <x:row r="319" ht="22" customHeight="1">
      <x:c r="A319" s="18" t="n">
        <x:v>312</x:v>
      </x:c>
      <x:c r="B319" s="17" t="n">
        <x:v>0.1479023962232305</x:v>
      </x:c>
      <x:c r="C319" s="17" t="n">
        <x:v>-0.3408162637707375</x:v>
      </x:c>
      <x:c r="D319" s="18" t="n">
        <x:v>0</x:v>
      </x:c>
      <x:c r="E319" s="17" t="n">
        <x:v>0.13753897518012323</x:v>
      </x:c>
      <x:c r="F319" s="18" t="n">
        <x:v>10</x:v>
      </x:c>
      <x:c r="G319" s="17" t="n">
        <x:v>0.13888645879606112</x:v>
      </x:c>
      <x:c r="H319" s="11" t="n">
        <x:f>1/G319</x:f>
        <x:v>7.20012597821639</x:v>
      </x:c>
      <x:c r="I319" s="17" t="n">
        <x:v>7.0939922921759075</x:v>
      </x:c>
      <x:c r="J319" s="11" t="n">
        <x:f>I319/H319</x:f>
        <x:v>0.9852594681868644</x:v>
      </x:c>
      <x:c r="K319" s="16" t="n">
        <x:f>COUNTIFS($J$8:$J$437,"&gt;"&amp;J319)+COUNTIFS($J$8:J319,J319)</x:f>
        <x:v>364</x:v>
      </x:c>
      <x:c r="L319" s="16" t="n">
        <x:f>IF(K319&lt;='Wyniki'!$B$6,1,0)</x:f>
        <x:v>0</x:v>
      </x:c>
      <x:c r="M319" s="17" t="n">
        <x:v>0.2605684882892613</x:v>
      </x:c>
      <x:c r="N319" s="18" t="n">
        <x:v>40</x:v>
      </x:c>
      <x:c r="O319" s="17" t="n">
        <x:v>0.29319494759591064</x:v>
      </x:c>
      <x:c r="P319" s="11" t="n">
        <x:f>1/O319</x:f>
        <x:v>3.4106999735146446</x:v>
      </x:c>
      <x:c r="Q319" s="17" t="n">
        <x:v>3.4048077008066597</x:v>
      </x:c>
      <x:c r="R319" s="11" t="n">
        <x:f>Q319/P319</x:f>
        <x:v>0.9982724154121616</x:v>
      </x:c>
      <x:c r="S319" s="16" t="n">
        <x:f>COUNTIFS($R$8:$R$437,"&gt;"&amp;R319)+COUNTIFS($R$8:R319,R319)</x:f>
        <x:v>320</x:v>
      </x:c>
      <x:c r="T319" s="16" t="n">
        <x:f>IF(S319&lt;='Wyniki'!$B$6,1,0)</x:f>
        <x:v>0</x:v>
      </x:c>
    </x:row>
    <x:row r="320" ht="22" customHeight="1">
      <x:c r="A320" s="18" t="n">
        <x:v>313</x:v>
      </x:c>
      <x:c r="B320" s="17" t="n">
        <x:v>0.25912496136996116</x:v>
      </x:c>
      <x:c r="C320" s="17" t="n">
        <x:v>-0.29339879094059845</x:v>
      </x:c>
      <x:c r="D320" s="18" t="n">
        <x:v>0</x:v>
      </x:c>
      <x:c r="E320" s="17" t="n">
        <x:v>0.13430090681707588</x:v>
      </x:c>
      <x:c r="F320" s="18" t="n">
        <x:v>10</x:v>
      </x:c>
      <x:c r="G320" s="17" t="n">
        <x:v>0.13992689756186313</x:v>
      </x:c>
      <x:c r="H320" s="11" t="n">
        <x:f>1/G320</x:f>
        <x:v>7.146588807615703</x:v>
      </x:c>
      <x:c r="I320" s="17" t="n">
        <x:v>7.215325808720715</x:v>
      </x:c>
      <x:c r="J320" s="11" t="n">
        <x:f>I320/H320</x:f>
        <x:v>1.0096181553123307</x:v>
      </x:c>
      <x:c r="K320" s="16" t="n">
        <x:f>COUNTIFS($J$8:$J$437,"&gt;"&amp;J320)+COUNTIFS($J$8:J320,J320)</x:f>
        <x:v>271</x:v>
      </x:c>
      <x:c r="L320" s="16" t="n">
        <x:f>IF(K320&lt;='Wyniki'!$B$6,1,0)</x:f>
        <x:v>0</x:v>
      </x:c>
      <x:c r="M320" s="17" t="n">
        <x:v>0.2840419266683207</x:v>
      </x:c>
      <x:c r="N320" s="18" t="n">
        <x:v>40</x:v>
      </x:c>
      <x:c r="O320" s="17" t="n">
        <x:v>0.2944611996675134</x:v>
      </x:c>
      <x:c r="P320" s="11" t="n">
        <x:f>1/O320</x:f>
        <x:v>3.396033165419198</x:v>
      </x:c>
      <x:c r="Q320" s="17" t="n">
        <x:v>3.3864092288789758</x:v>
      </x:c>
      <x:c r="R320" s="11" t="n">
        <x:f>Q320/P320</x:f>
        <x:v>0.9971661241008422</x:v>
      </x:c>
      <x:c r="S320" s="16" t="n">
        <x:f>COUNTIFS($R$8:$R$437,"&gt;"&amp;R320)+COUNTIFS($R$8:R320,R320)</x:f>
        <x:v>324</x:v>
      </x:c>
      <x:c r="T320" s="16" t="n">
        <x:f>IF(S320&lt;='Wyniki'!$B$6,1,0)</x:f>
        <x:v>0</x:v>
      </x:c>
    </x:row>
    <x:row r="321" ht="22" customHeight="1">
      <x:c r="A321" s="18" t="n">
        <x:v>314</x:v>
      </x:c>
      <x:c r="B321" s="17" t="n">
        <x:v>-0.2264010772189151</x:v>
      </x:c>
      <x:c r="C321" s="17" t="n">
        <x:v>0.7494534518918377</x:v>
      </x:c>
      <x:c r="D321" s="18" t="n">
        <x:v>0</x:v>
      </x:c>
      <x:c r="E321" s="17" t="n">
        <x:v>0.20325252730682186</x:v>
      </x:c>
      <x:c r="F321" s="18" t="n">
        <x:v>10</x:v>
      </x:c>
      <x:c r="G321" s="17" t="n">
        <x:v>0.20556704703378462</x:v>
      </x:c>
      <x:c r="H321" s="11" t="n">
        <x:f>1/G321</x:f>
        <x:v>4.864592912285458</x:v>
      </x:c>
      <x:c r="I321" s="17" t="n">
        <x:v>5.120565266983503</x:v>
      </x:c>
      <x:c r="J321" s="11" t="n">
        <x:f>I321/H321</x:f>
        <x:v>1.0526194810775615</x:v>
      </x:c>
      <x:c r="K321" s="16" t="n">
        <x:f>COUNTIFS($J$8:$J$437,"&gt;"&amp;J321)+COUNTIFS($J$8:J321,J321)</x:f>
        <x:v>173</x:v>
      </x:c>
      <x:c r="L321" s="16" t="n">
        <x:f>IF(K321&lt;='Wyniki'!$B$6,1,0)</x:f>
        <x:v>0</x:v>
      </x:c>
      <x:c r="M321" s="17" t="n">
        <x:v>0.43740900739725036</x:v>
      </x:c>
      <x:c r="N321" s="18" t="n">
        <x:v>40</x:v>
      </x:c>
      <x:c r="O321" s="17" t="n">
        <x:v>0.41224125777243714</x:v>
      </x:c>
      <x:c r="P321" s="11" t="n">
        <x:f>1/O321</x:f>
        <x:v>2.4257639941318385</x:v>
      </x:c>
      <x:c r="Q321" s="17" t="n">
        <x:v>2.6463347218841746</x:v>
      </x:c>
      <x:c r="R321" s="11" t="n">
        <x:f>Q321/P321</x:f>
        <x:v>1.0909283542364048</x:v>
      </x:c>
      <x:c r="S321" s="16" t="n">
        <x:f>COUNTIFS($R$8:$R$437,"&gt;"&amp;R321)+COUNTIFS($R$8:R321,R321)</x:f>
        <x:v>158</x:v>
      </x:c>
      <x:c r="T321" s="16" t="n">
        <x:f>IF(S321&lt;='Wyniki'!$B$6,1,0)</x:f>
        <x:v>0</x:v>
      </x:c>
    </x:row>
    <x:row r="322" ht="22" customHeight="1">
      <x:c r="A322" s="18" t="n">
        <x:v>315</x:v>
      </x:c>
      <x:c r="B322" s="17" t="n">
        <x:v>-0.5723223288818382</x:v>
      </x:c>
      <x:c r="C322" s="17" t="n">
        <x:v>-1.3270291820112197</x:v>
      </x:c>
      <x:c r="D322" s="18" t="n">
        <x:v>0</x:v>
      </x:c>
      <x:c r="E322" s="17" t="n">
        <x:v>0.5856551070338742</x:v>
      </x:c>
      <x:c r="F322" s="18" t="n">
        <x:v>10</x:v>
      </x:c>
      <x:c r="G322" s="17" t="n">
        <x:v>0.5256060149844196</x:v>
      </x:c>
      <x:c r="H322" s="11" t="n">
        <x:f>1/G322</x:f>
        <x:v>1.9025657459982506</x:v>
      </x:c>
      <x:c r="I322" s="17" t="n">
        <x:v>3.2964752186875033</x:v>
      </x:c>
      <x:c r="J322" s="11" t="n">
        <x:f>I322/H322</x:f>
        <x:v>1.7326472031892317</x:v>
      </x:c>
      <x:c r="K322" s="16" t="n">
        <x:f>COUNTIFS($J$8:$J$437,"&gt;"&amp;J322)+COUNTIFS($J$8:J322,J322)</x:f>
        <x:v>9</x:v>
      </x:c>
      <x:c r="L322" s="16" t="n">
        <x:f>IF(K322&lt;='Wyniki'!$B$6,1,0)</x:f>
        <x:v>1</x:v>
      </x:c>
      <x:c r="M322" s="17" t="n">
        <x:v>0.8396907067190965</x:v>
      </x:c>
      <x:c r="N322" s="18" t="n">
        <x:v>40</x:v>
      </x:c>
      <x:c r="O322" s="17" t="n">
        <x:v>0.7175174185313977</x:v>
      </x:c>
      <x:c r="P322" s="11" t="n">
        <x:f>1/O322</x:f>
        <x:v>1.393694388697605</x:v>
      </x:c>
      <x:c r="Q322" s="17" t="n">
        <x:v>2.232689143314727</x:v>
      </x:c>
      <x:c r="R322" s="11" t="n">
        <x:f>Q322/P322</x:f>
        <x:v>1.601993350494261</x:v>
      </x:c>
      <x:c r="S322" s="16" t="n">
        <x:f>COUNTIFS($R$8:$R$437,"&gt;"&amp;R322)+COUNTIFS($R$8:R322,R322)</x:f>
        <x:v>45</x:v>
      </x:c>
      <x:c r="T322" s="16" t="n">
        <x:f>IF(S322&lt;='Wyniki'!$B$6,1,0)</x:f>
        <x:v>0</x:v>
      </x:c>
    </x:row>
    <x:row r="323" ht="22" customHeight="1">
      <x:c r="A323" s="18" t="n">
        <x:v>316</x:v>
      </x:c>
      <x:c r="B323" s="17" t="n">
        <x:v>0.886015347256542</x:v>
      </x:c>
      <x:c r="C323" s="17" t="n">
        <x:v>1.4021303739338518</x:v>
      </x:c>
      <x:c r="D323" s="18" t="n">
        <x:v>0</x:v>
      </x:c>
      <x:c r="E323" s="17" t="n">
        <x:v>0.7306103554995124</x:v>
      </x:c>
      <x:c r="F323" s="18" t="n">
        <x:v>10</x:v>
      </x:c>
      <x:c r="G323" s="17" t="n">
        <x:v>0.7011385601886163</x:v>
      </x:c>
      <x:c r="H323" s="11" t="n">
        <x:f>1/G323</x:f>
        <x:v>1.426251609569135</x:v>
      </x:c>
      <x:c r="I323" s="17" t="n">
        <x:v>2.630568056734251</x:v>
      </x:c>
      <x:c r="J323" s="11" t="n">
        <x:f>I323/H323</x:f>
        <x:v>1.8443926997768192</x:v>
      </x:c>
      <x:c r="K323" s="16" t="n">
        <x:f>COUNTIFS($J$8:$J$437,"&gt;"&amp;J323)+COUNTIFS($J$8:J323,J323)</x:f>
        <x:v>5</x:v>
      </x:c>
      <x:c r="L323" s="16" t="n">
        <x:f>IF(K323&lt;='Wyniki'!$B$6,1,0)</x:f>
        <x:v>1</x:v>
      </x:c>
      <x:c r="M323" s="17" t="n">
        <x:v>1.0622049951271055</x:v>
      </x:c>
      <x:c r="N323" s="18" t="n">
        <x:v>40</x:v>
      </x:c>
      <x:c r="O323" s="17" t="n">
        <x:v>0.9106761060697337</x:v>
      </x:c>
      <x:c r="P323" s="11" t="n">
        <x:f>1/O323</x:f>
        <x:v>1.098085250436368</x:v>
      </x:c>
      <x:c r="Q323" s="17" t="n">
        <x:v>2.21619797662315</x:v>
      </x:c>
      <x:c r="R323" s="11" t="n">
        <x:f>Q323/P323</x:f>
        <x:v>2.018238543630793</x:v>
      </x:c>
      <x:c r="S323" s="16" t="n">
        <x:f>COUNTIFS($R$8:$R$437,"&gt;"&amp;R323)+COUNTIFS($R$8:R323,R323)</x:f>
        <x:v>7</x:v>
      </x:c>
      <x:c r="T323" s="16" t="n">
        <x:f>IF(S323&lt;='Wyniki'!$B$6,1,0)</x:f>
        <x:v>1</x:v>
      </x:c>
    </x:row>
    <x:row r="324" ht="22" customHeight="1">
      <x:c r="A324" s="18" t="n">
        <x:v>317</x:v>
      </x:c>
      <x:c r="B324" s="17" t="n">
        <x:v>-0.22289809599713253</x:v>
      </x:c>
      <x:c r="C324" s="17" t="n">
        <x:v>-1.065260922341102</x:v>
      </x:c>
      <x:c r="D324" s="18" t="n">
        <x:v>0</x:v>
      </x:c>
      <x:c r="E324" s="17" t="n">
        <x:v>0.3432379719956758</x:v>
      </x:c>
      <x:c r="F324" s="18" t="n">
        <x:v>10</x:v>
      </x:c>
      <x:c r="G324" s="17" t="n">
        <x:v>0.3044686474725974</x:v>
      </x:c>
      <x:c r="H324" s="11" t="n">
        <x:f>1/G324</x:f>
        <x:v>3.284410425510237</x:v>
      </x:c>
      <x:c r="I324" s="17" t="n">
        <x:v>4.484409096813742</x:v>
      </x:c>
      <x:c r="J324" s="11" t="n">
        <x:f>I324/H324</x:f>
        <x:v>1.3653619724206922</x:v>
      </x:c>
      <x:c r="K324" s="16" t="n">
        <x:f>COUNTIFS($J$8:$J$437,"&gt;"&amp;J324)+COUNTIFS($J$8:J324,J324)</x:f>
        <x:v>32</x:v>
      </x:c>
      <x:c r="L324" s="16" t="n">
        <x:f>IF(K324&lt;='Wyniki'!$B$6,1,0)</x:f>
        <x:v>0</x:v>
      </x:c>
      <x:c r="M324" s="17" t="n">
        <x:v>0.5726284480336821</x:v>
      </x:c>
      <x:c r="N324" s="18" t="n">
        <x:v>40</x:v>
      </x:c>
      <x:c r="O324" s="17" t="n">
        <x:v>0.5018145674379435</x:v>
      </x:c>
      <x:c r="P324" s="11" t="n">
        <x:f>1/O324</x:f>
        <x:v>1.9927679762378843</x:v>
      </x:c>
      <x:c r="Q324" s="17" t="n">
        <x:v>2.521377210435525</x:v>
      </x:c>
      <x:c r="R324" s="11" t="n">
        <x:f>Q324/P324</x:f>
        <x:v>1.2652638142025918</x:v>
      </x:c>
      <x:c r="S324" s="16" t="n">
        <x:f>COUNTIFS($R$8:$R$437,"&gt;"&amp;R324)+COUNTIFS($R$8:R324,R324)</x:f>
        <x:v>92</x:v>
      </x:c>
      <x:c r="T324" s="16" t="n">
        <x:f>IF(S324&lt;='Wyniki'!$B$6,1,0)</x:f>
        <x:v>0</x:v>
      </x:c>
    </x:row>
    <x:row r="325" ht="22" customHeight="1">
      <x:c r="A325" s="18" t="n">
        <x:v>318</x:v>
      </x:c>
      <x:c r="B325" s="17" t="n">
        <x:v>-0.17076618690776907</x:v>
      </x:c>
      <x:c r="C325" s="17" t="n">
        <x:v>-0.15742262241236807</x:v>
      </x:c>
      <x:c r="D325" s="18" t="n">
        <x:v>0</x:v>
      </x:c>
      <x:c r="E325" s="17" t="n">
        <x:v>0.12639074161259467</x:v>
      </x:c>
      <x:c r="F325" s="18" t="n">
        <x:v>10</x:v>
      </x:c>
      <x:c r="G325" s="17" t="n">
        <x:v>0.15132788690605967</x:v>
      </x:c>
      <x:c r="H325" s="11" t="n">
        <x:f>1/G325</x:f>
        <x:v>6.608167340767624</x:v>
      </x:c>
      <x:c r="I325" s="17" t="n">
        <x:v>6.809664079717175</x:v>
      </x:c>
      <x:c r="J325" s="11" t="n">
        <x:f>I325/H325</x:f>
        <x:v>1.0304920757236975</x:v>
      </x:c>
      <x:c r="K325" s="16" t="n">
        <x:f>COUNTIFS($J$8:$J$437,"&gt;"&amp;J325)+COUNTIFS($J$8:J325,J325)</x:f>
        <x:v>215</x:v>
      </x:c>
      <x:c r="L325" s="16" t="n">
        <x:f>IF(K325&lt;='Wyniki'!$B$6,1,0)</x:f>
        <x:v>0</x:v>
      </x:c>
      <x:c r="M325" s="17" t="n">
        <x:v>0.2985183381582605</x:v>
      </x:c>
      <x:c r="N325" s="18" t="n">
        <x:v>40</x:v>
      </x:c>
      <x:c r="O325" s="17" t="n">
        <x:v>0.27670132921844576</x:v>
      </x:c>
      <x:c r="P325" s="11" t="n">
        <x:f>1/O325</x:f>
        <x:v>3.614005045890242</x:v>
      </x:c>
      <x:c r="Q325" s="17" t="n">
        <x:v>3.612271576434913</x:v>
      </x:c>
      <x:c r="R325" s="11" t="n">
        <x:f>Q325/P325</x:f>
        <x:v>0.9995203466975509</x:v>
      </x:c>
      <x:c r="S325" s="16" t="n">
        <x:f>COUNTIFS($R$8:$R$437,"&gt;"&amp;R325)+COUNTIFS($R$8:R325,R325)</x:f>
        <x:v>317</x:v>
      </x:c>
      <x:c r="T325" s="16" t="n">
        <x:f>IF(S325&lt;='Wyniki'!$B$6,1,0)</x:f>
        <x:v>0</x:v>
      </x:c>
    </x:row>
    <x:row r="326" ht="22" customHeight="1">
      <x:c r="A326" s="18" t="n">
        <x:v>319</x:v>
      </x:c>
      <x:c r="B326" s="17" t="n">
        <x:v>-0.10445811256224138</x:v>
      </x:c>
      <x:c r="C326" s="17" t="n">
        <x:v>-0.6123634230570166</x:v>
      </x:c>
      <x:c r="D326" s="18" t="n">
        <x:v>0</x:v>
      </x:c>
      <x:c r="E326" s="17" t="n">
        <x:v>0.1570748133791421</x:v>
      </x:c>
      <x:c r="F326" s="18" t="n">
        <x:v>10</x:v>
      </x:c>
      <x:c r="G326" s="17" t="n">
        <x:v>0.15371330380547796</x:v>
      </x:c>
      <x:c r="H326" s="11" t="n">
        <x:f>1/G326</x:f>
        <x:v>6.505617765300823</x:v>
      </x:c>
      <x:c r="I326" s="17" t="n">
        <x:v>6.4232358712147475</x:v>
      </x:c>
      <x:c r="J326" s="11" t="n">
        <x:f>I326/H326</x:f>
        <x:v>0.9873368068862765</x:v>
      </x:c>
      <x:c r="K326" s="16" t="n">
        <x:f>COUNTIFS($J$8:$J$437,"&gt;"&amp;J326)+COUNTIFS($J$8:J326,J326)</x:f>
        <x:v>356</x:v>
      </x:c>
      <x:c r="L326" s="16" t="n">
        <x:f>IF(K326&lt;='Wyniki'!$B$6,1,0)</x:f>
        <x:v>0</x:v>
      </x:c>
      <x:c r="M326" s="17" t="n">
        <x:v>0.3152238103671108</x:v>
      </x:c>
      <x:c r="N326" s="18" t="n">
        <x:v>40</x:v>
      </x:c>
      <x:c r="O326" s="17" t="n">
        <x:v>0.3444670716390494</x:v>
      </x:c>
      <x:c r="P326" s="11" t="n">
        <x:f>1/O326</x:f>
        <x:v>2.903035100689834</x:v>
      </x:c>
      <x:c r="Q326" s="17" t="n">
        <x:v>2.9146435651148015</x:v>
      </x:c>
      <x:c r="R326" s="11" t="n">
        <x:f>Q326/P326</x:f>
        <x:v>1.0039987337466947</x:v>
      </x:c>
      <x:c r="S326" s="16" t="n">
        <x:f>COUNTIFS($R$8:$R$437,"&gt;"&amp;R326)+COUNTIFS($R$8:R326,R326)</x:f>
        <x:v>294</x:v>
      </x:c>
      <x:c r="T326" s="16" t="n">
        <x:f>IF(S326&lt;='Wyniki'!$B$6,1,0)</x:f>
        <x:v>0</x:v>
      </x:c>
    </x:row>
    <x:row r="327" ht="22" customHeight="1">
      <x:c r="A327" s="18" t="n">
        <x:v>320</x:v>
      </x:c>
      <x:c r="B327" s="17" t="n">
        <x:v>0.3187586283620626</x:v>
      </x:c>
      <x:c r="C327" s="17" t="n">
        <x:v>0.2884790564073474</x:v>
      </x:c>
      <x:c r="D327" s="18" t="n">
        <x:v>0</x:v>
      </x:c>
      <x:c r="E327" s="17" t="n">
        <x:v>0.10842806937684282</x:v>
      </x:c>
      <x:c r="F327" s="18" t="n">
        <x:v>10</x:v>
      </x:c>
      <x:c r="G327" s="17" t="n">
        <x:v>0.13024405282373527</x:v>
      </x:c>
      <x:c r="H327" s="11" t="n">
        <x:f>1/G327</x:f>
        <x:v>7.677893756526003</x:v>
      </x:c>
      <x:c r="I327" s="17" t="n">
        <x:v>7.753569241130995</x:v>
      </x:c>
      <x:c r="J327" s="11" t="n">
        <x:f>I327/H327</x:f>
        <x:v>1.0098562818143544</x:v>
      </x:c>
      <x:c r="K327" s="16" t="n">
        <x:f>COUNTIFS($J$8:$J$437,"&gt;"&amp;J327)+COUNTIFS($J$8:J327,J327)</x:f>
        <x:v>269</x:v>
      </x:c>
      <x:c r="L327" s="16" t="n">
        <x:f>IF(K327&lt;='Wyniki'!$B$6,1,0)</x:f>
        <x:v>0</x:v>
      </x:c>
      <x:c r="M327" s="17" t="n">
        <x:v>0.2571827171202435</x:v>
      </x:c>
      <x:c r="N327" s="18" t="n">
        <x:v>40</x:v>
      </x:c>
      <x:c r="O327" s="17" t="n">
        <x:v>0.2762658195983989</x:v>
      </x:c>
      <x:c r="P327" s="11" t="n">
        <x:f>1/O327</x:f>
        <x:v>3.6197022181523444</x:v>
      </x:c>
      <x:c r="Q327" s="17" t="n">
        <x:v>3.551829476864898</x:v>
      </x:c>
      <x:c r="R327" s="11" t="n">
        <x:f>Q327/P327</x:f>
        <x:v>0.9812490814998335</x:v>
      </x:c>
      <x:c r="S327" s="16" t="n">
        <x:f>COUNTIFS($R$8:$R$437,"&gt;"&amp;R327)+COUNTIFS($R$8:R327,R327)</x:f>
        <x:v>382</x:v>
      </x:c>
      <x:c r="T327" s="16" t="n">
        <x:f>IF(S327&lt;='Wyniki'!$B$6,1,0)</x:f>
        <x:v>0</x:v>
      </x:c>
    </x:row>
    <x:row r="328" ht="22" customHeight="1">
      <x:c r="A328" s="18" t="n">
        <x:v>321</x:v>
      </x:c>
      <x:c r="B328" s="17" t="n">
        <x:v>-0.8219230909006187</x:v>
      </x:c>
      <x:c r="C328" s="17" t="n">
        <x:v>0.38455820243218836</x:v>
      </x:c>
      <x:c r="D328" s="18" t="n">
        <x:v>0</x:v>
      </x:c>
      <x:c r="E328" s="17" t="n">
        <x:v>0.27849260453869423</x:v>
      </x:c>
      <x:c r="F328" s="18" t="n">
        <x:v>10</x:v>
      </x:c>
      <x:c r="G328" s="17" t="n">
        <x:v>0.2527721969282831</x:v>
      </x:c>
      <x:c r="H328" s="11" t="n">
        <x:f>1/G328</x:f>
        <x:v>3.956131299850677</x:v>
      </x:c>
      <x:c r="I328" s="17" t="n">
        <x:v>4.495575266516935</x:v>
      </x:c>
      <x:c r="J328" s="11" t="n">
        <x:f>I328/H328</x:f>
        <x:v>1.1363564365739376</x:v>
      </x:c>
      <x:c r="K328" s="16" t="n">
        <x:f>COUNTIFS($J$8:$J$437,"&gt;"&amp;J328)+COUNTIFS($J$8:J328,J328)</x:f>
        <x:v>90</x:v>
      </x:c>
      <x:c r="L328" s="16" t="n">
        <x:f>IF(K328&lt;='Wyniki'!$B$6,1,0)</x:f>
        <x:v>0</x:v>
      </x:c>
      <x:c r="M328" s="17" t="n">
        <x:v>0.5124906459585271</x:v>
      </x:c>
      <x:c r="N328" s="18" t="n">
        <x:v>40</x:v>
      </x:c>
      <x:c r="O328" s="17" t="n">
        <x:v>0.46553616772674006</x:v>
      </x:c>
      <x:c r="P328" s="11" t="n">
        <x:f>1/O328</x:f>
        <x:v>2.148060815302709</x:v>
      </x:c>
      <x:c r="Q328" s="17" t="n">
        <x:v>2.6196282456180873</x:v>
      </x:c>
      <x:c r="R328" s="11" t="n">
        <x:f>Q328/P328</x:f>
        <x:v>1.2195316943337677</x:v>
      </x:c>
      <x:c r="S328" s="16" t="n">
        <x:f>COUNTIFS($R$8:$R$437,"&gt;"&amp;R328)+COUNTIFS($R$8:R328,R328)</x:f>
        <x:v>106</x:v>
      </x:c>
      <x:c r="T328" s="16" t="n">
        <x:f>IF(S328&lt;='Wyniki'!$B$6,1,0)</x:f>
        <x:v>0</x:v>
      </x:c>
    </x:row>
    <x:row r="329" ht="22" customHeight="1">
      <x:c r="A329" s="18" t="n">
        <x:v>322</x:v>
      </x:c>
      <x:c r="B329" s="17" t="n">
        <x:v>1.1289767400702402</x:v>
      </x:c>
      <x:c r="C329" s="17" t="n">
        <x:v>0.09457818284038293</x:v>
      </x:c>
      <x:c r="D329" s="18" t="n">
        <x:v>0</x:v>
      </x:c>
      <x:c r="E329" s="17" t="n">
        <x:v>0.3294546119019995</x:v>
      </x:c>
      <x:c r="F329" s="18" t="n">
        <x:v>10</x:v>
      </x:c>
      <x:c r="G329" s="17" t="n">
        <x:v>0.3524840897110152</x:v>
      </x:c>
      <x:c r="H329" s="11" t="n">
        <x:f>1/G329</x:f>
        <x:v>2.8370074825784393</x:v>
      </x:c>
      <x:c r="I329" s="17" t="n">
        <x:v>3.384864337737482</x:v>
      </x:c>
      <x:c r="J329" s="11" t="n">
        <x:f>I329/H329</x:f>
        <x:v>1.1931108248826747</x:v>
      </x:c>
      <x:c r="K329" s="16" t="n">
        <x:f>COUNTIFS($J$8:$J$437,"&gt;"&amp;J329)+COUNTIFS($J$8:J329,J329)</x:f>
        <x:v>68</x:v>
      </x:c>
      <x:c r="L329" s="16" t="n">
        <x:f>IF(K329&lt;='Wyniki'!$B$6,1,0)</x:f>
        <x:v>0</x:v>
      </x:c>
      <x:c r="M329" s="17" t="n">
        <x:v>0.6503113143352274</x:v>
      </x:c>
      <x:c r="N329" s="18" t="n">
        <x:v>40</x:v>
      </x:c>
      <x:c r="O329" s="17" t="n">
        <x:v>0.5588073149259664</x:v>
      </x:c>
      <x:c r="P329" s="11" t="n">
        <x:f>1/O329</x:f>
        <x:v>1.789525608004049</x:v>
      </x:c>
      <x:c r="Q329" s="17" t="n">
        <x:v>2.5106730837470295</x:v>
      </x:c>
      <x:c r="R329" s="11" t="n">
        <x:f>Q329/P329</x:f>
        <x:v>1.4029824845855734</x:v>
      </x:c>
      <x:c r="S329" s="16" t="n">
        <x:f>COUNTIFS($R$8:$R$437,"&gt;"&amp;R329)+COUNTIFS($R$8:R329,R329)</x:f>
        <x:v>66</x:v>
      </x:c>
      <x:c r="T329" s="16" t="n">
        <x:f>IF(S329&lt;='Wyniki'!$B$6,1,0)</x:f>
        <x:v>0</x:v>
      </x:c>
    </x:row>
    <x:row r="330" ht="22" customHeight="1">
      <x:c r="A330" s="18" t="n">
        <x:v>323</x:v>
      </x:c>
      <x:c r="B330" s="17" t="n">
        <x:v>-0.18552883913767834</x:v>
      </x:c>
      <x:c r="C330" s="17" t="n">
        <x:v>-0.07810176792413673</x:v>
      </x:c>
      <x:c r="D330" s="18" t="n">
        <x:v>0</x:v>
      </x:c>
      <x:c r="E330" s="17" t="n">
        <x:v>0.13261124102367947</x:v>
      </x:c>
      <x:c r="F330" s="18" t="n">
        <x:v>10</x:v>
      </x:c>
      <x:c r="G330" s="17" t="n">
        <x:v>0.14092799884725832</x:v>
      </x:c>
      <x:c r="H330" s="11" t="n">
        <x:f>1/G330</x:f>
        <x:v>7.095822038059504</x:v>
      </x:c>
      <x:c r="I330" s="17" t="n">
        <x:v>7.04734541871354</x:v>
      </x:c>
      <x:c r="J330" s="11" t="n">
        <x:f>I330/H330</x:f>
        <x:v>0.9931682870446931</x:v>
      </x:c>
      <x:c r="K330" s="16" t="n">
        <x:f>COUNTIFS($J$8:$J$437,"&gt;"&amp;J330)+COUNTIFS($J$8:J330,J330)</x:f>
        <x:v>338</x:v>
      </x:c>
      <x:c r="L330" s="16" t="n">
        <x:f>IF(K330&lt;='Wyniki'!$B$6,1,0)</x:f>
        <x:v>0</x:v>
      </x:c>
      <x:c r="M330" s="17" t="n">
        <x:v>0.28808565606175024</x:v>
      </x:c>
      <x:c r="N330" s="18" t="n">
        <x:v>40</x:v>
      </x:c>
      <x:c r="O330" s="17" t="n">
        <x:v>0.27054151454879705</x:v>
      </x:c>
      <x:c r="P330" s="11" t="n">
        <x:f>1/O330</x:f>
        <x:v>3.696290388806972</x:v>
      </x:c>
      <x:c r="Q330" s="17" t="n">
        <x:v>3.6878548809829597</x:v>
      </x:c>
      <x:c r="R330" s="11" t="n">
        <x:f>Q330/P330</x:f>
        <x:v>0.9977178449373035</x:v>
      </x:c>
      <x:c r="S330" s="16" t="n">
        <x:f>COUNTIFS($R$8:$R$437,"&gt;"&amp;R330)+COUNTIFS($R$8:R330,R330)</x:f>
        <x:v>322</x:v>
      </x:c>
      <x:c r="T330" s="16" t="n">
        <x:f>IF(S330&lt;='Wyniki'!$B$6,1,0)</x:f>
        <x:v>0</x:v>
      </x:c>
    </x:row>
    <x:row r="331" ht="22" customHeight="1">
      <x:c r="A331" s="18" t="n">
        <x:v>324</x:v>
      </x:c>
      <x:c r="B331" s="17" t="n">
        <x:v>0.3383912218327087</x:v>
      </x:c>
      <x:c r="C331" s="17" t="n">
        <x:v>-0.9518693830289701</x:v>
      </x:c>
      <x:c r="D331" s="18" t="n">
        <x:v>0</x:v>
      </x:c>
      <x:c r="E331" s="17" t="n">
        <x:v>0.3669910665937039</x:v>
      </x:c>
      <x:c r="F331" s="18" t="n">
        <x:v>10</x:v>
      </x:c>
      <x:c r="G331" s="17" t="n">
        <x:v>0.3493721249959544</x:v>
      </x:c>
      <x:c r="H331" s="11" t="n">
        <x:f>1/G331</x:f>
        <x:v>2.862277578703738</x:v>
      </x:c>
      <x:c r="I331" s="17" t="n">
        <x:v>3.575918809699295</x:v>
      </x:c>
      <x:c r="J331" s="11" t="n">
        <x:f>I331/H331</x:f>
        <x:v>1.2493263533576464</x:v>
      </x:c>
      <x:c r="K331" s="16" t="n">
        <x:f>COUNTIFS($J$8:$J$437,"&gt;"&amp;J331)+COUNTIFS($J$8:J331,J331)</x:f>
        <x:v>52</x:v>
      </x:c>
      <x:c r="L331" s="16" t="n">
        <x:f>IF(K331&lt;='Wyniki'!$B$6,1,0)</x:f>
        <x:v>0</x:v>
      </x:c>
      <x:c r="M331" s="17" t="n">
        <x:v>0.5726284480336821</x:v>
      </x:c>
      <x:c r="N331" s="18" t="n">
        <x:v>40</x:v>
      </x:c>
      <x:c r="O331" s="17" t="n">
        <x:v>0.5084747595733704</x:v>
      </x:c>
      <x:c r="P331" s="11" t="n">
        <x:f>1/O331</x:f>
        <x:v>1.9666659576948085</x:v>
      </x:c>
      <x:c r="Q331" s="17" t="n">
        <x:v>2.549752624506825</x:v>
      </x:c>
      <x:c r="R331" s="11" t="n">
        <x:f>Q331/P331</x:f>
        <x:v>1.2964848527176782</x:v>
      </x:c>
      <x:c r="S331" s="16" t="n">
        <x:f>COUNTIFS($R$8:$R$437,"&gt;"&amp;R331)+COUNTIFS($R$8:R331,R331)</x:f>
        <x:v>83</x:v>
      </x:c>
      <x:c r="T331" s="16" t="n">
        <x:f>IF(S331&lt;='Wyniki'!$B$6,1,0)</x:f>
        <x:v>0</x:v>
      </x:c>
    </x:row>
    <x:row r="332" ht="22" customHeight="1">
      <x:c r="A332" s="18" t="n">
        <x:v>325</x:v>
      </x:c>
      <x:c r="B332" s="17" t="n">
        <x:v>0.09041488663751623</x:v>
      </x:c>
      <x:c r="C332" s="17" t="n">
        <x:v>-0.21475517220454557</x:v>
      </x:c>
      <x:c r="D332" s="18" t="n">
        <x:v>0</x:v>
      </x:c>
      <x:c r="E332" s="17" t="n">
        <x:v>0.12251281668600641</x:v>
      </x:c>
      <x:c r="F332" s="18" t="n">
        <x:v>10</x:v>
      </x:c>
      <x:c r="G332" s="17" t="n">
        <x:v>0.13547698517707704</x:v>
      </x:c>
      <x:c r="H332" s="11" t="n">
        <x:f>1/G332</x:f>
        <x:v>7.38132752727658</x:v>
      </x:c>
      <x:c r="I332" s="17" t="n">
        <x:v>7.5239853794853975</x:v>
      </x:c>
      <x:c r="J332" s="11" t="n">
        <x:f>I332/H332</x:f>
        <x:v>1.0193268557290875</x:v>
      </x:c>
      <x:c r="K332" s="16" t="n">
        <x:f>COUNTIFS($J$8:$J$437,"&gt;"&amp;J332)+COUNTIFS($J$8:J332,J332)</x:f>
        <x:v>243</x:v>
      </x:c>
      <x:c r="L332" s="16" t="n">
        <x:f>IF(K332&lt;='Wyniki'!$B$6,1,0)</x:f>
        <x:v>0</x:v>
      </x:c>
      <x:c r="M332" s="17" t="n">
        <x:v>0.26263311510231785</x:v>
      </x:c>
      <x:c r="N332" s="18" t="n">
        <x:v>40</x:v>
      </x:c>
      <x:c r="O332" s="17" t="n">
        <x:v>0.27232724639271966</x:v>
      </x:c>
      <x:c r="P332" s="11" t="n">
        <x:f>1/O332</x:f>
        <x:v>3.672052698531357</x:v>
      </x:c>
      <x:c r="Q332" s="17" t="n">
        <x:v>3.5989614864241743</x:v>
      </x:c>
      <x:c r="R332" s="11" t="n">
        <x:f>Q332/P332</x:f>
        <x:v>0.9800952714713447</x:v>
      </x:c>
      <x:c r="S332" s="16" t="n">
        <x:f>COUNTIFS($R$8:$R$437,"&gt;"&amp;R332)+COUNTIFS($R$8:R332,R332)</x:f>
        <x:v>387</x:v>
      </x:c>
      <x:c r="T332" s="16" t="n">
        <x:f>IF(S332&lt;='Wyniki'!$B$6,1,0)</x:f>
        <x:v>0</x:v>
      </x:c>
    </x:row>
    <x:row r="333" ht="22" customHeight="1">
      <x:c r="A333" s="18" t="n">
        <x:v>326</x:v>
      </x:c>
      <x:c r="B333" s="17" t="n">
        <x:v>1.016303757125825</x:v>
      </x:c>
      <x:c r="C333" s="17" t="n">
        <x:v>-0.09579500359272684</x:v>
      </x:c>
      <x:c r="D333" s="18" t="n">
        <x:v>0</x:v>
      </x:c>
      <x:c r="E333" s="17" t="n">
        <x:v>0.3420476686364041</x:v>
      </x:c>
      <x:c r="F333" s="18" t="n">
        <x:v>10</x:v>
      </x:c>
      <x:c r="G333" s="17" t="n">
        <x:v>0.30245598957108355</x:v>
      </x:c>
      <x:c r="H333" s="11" t="n">
        <x:f>1/G333</x:f>
        <x:v>3.3062661493928815</x:v>
      </x:c>
      <x:c r="I333" s="17" t="n">
        <x:v>3.805676242197727</x:v>
      </x:c>
      <x:c r="J333" s="11" t="n">
        <x:f>I333/H333</x:f>
        <x:v>1.1510495738210762</x:v>
      </x:c>
      <x:c r="K333" s="16" t="n">
        <x:f>COUNTIFS($J$8:$J$437,"&gt;"&amp;J333)+COUNTIFS($J$8:J333,J333)</x:f>
        <x:v>84</x:v>
      </x:c>
      <x:c r="L333" s="16" t="n">
        <x:f>IF(K333&lt;='Wyniki'!$B$6,1,0)</x:f>
        <x:v>0</x:v>
      </x:c>
      <x:c r="M333" s="17" t="n">
        <x:v>0.5649355451866919</x:v>
      </x:c>
      <x:c r="N333" s="18" t="n">
        <x:v>40</x:v>
      </x:c>
      <x:c r="O333" s="17" t="n">
        <x:v>0.5230860043521371</x:v>
      </x:c>
      <x:c r="P333" s="11" t="n">
        <x:f>1/O333</x:f>
        <x:v>1.9117315158117063</x:v>
      </x:c>
      <x:c r="Q333" s="17" t="n">
        <x:v>2.4889165496664427</x:v>
      </x:c>
      <x:c r="R333" s="11" t="n">
        <x:f>Q333/P333</x:f>
        <x:v>1.301917413130927</x:v>
      </x:c>
      <x:c r="S333" s="16" t="n">
        <x:f>COUNTIFS($R$8:$R$437,"&gt;"&amp;R333)+COUNTIFS($R$8:R333,R333)</x:f>
        <x:v>82</x:v>
      </x:c>
      <x:c r="T333" s="16" t="n">
        <x:f>IF(S333&lt;='Wyniki'!$B$6,1,0)</x:f>
        <x:v>0</x:v>
      </x:c>
    </x:row>
    <x:row r="334" ht="22" customHeight="1">
      <x:c r="A334" s="18" t="n">
        <x:v>327</x:v>
      </x:c>
      <x:c r="B334" s="17" t="n">
        <x:v>0.9173381861157359</x:v>
      </x:c>
      <x:c r="C334" s="17" t="n">
        <x:v>-0.607057383780104</x:v>
      </x:c>
      <x:c r="D334" s="18" t="n">
        <x:v>0</x:v>
      </x:c>
      <x:c r="E334" s="17" t="n">
        <x:v>0.3474743172056375</x:v>
      </x:c>
      <x:c r="F334" s="18" t="n">
        <x:v>10</x:v>
      </x:c>
      <x:c r="G334" s="17" t="n">
        <x:v>0.3995323974535296</x:v>
      </x:c>
      <x:c r="H334" s="11" t="n">
        <x:f>1/G334</x:f>
        <x:v>2.5029259363536647</x:v>
      </x:c>
      <x:c r="I334" s="17" t="n">
        <x:v>3.0153126888895847</x:v>
      </x:c>
      <x:c r="J334" s="11" t="n">
        <x:f>I334/H334</x:f>
        <x:v>1.2047151076641045</x:v>
      </x:c>
      <x:c r="K334" s="16" t="n">
        <x:f>COUNTIFS($J$8:$J$437,"&gt;"&amp;J334)+COUNTIFS($J$8:J334,J334)</x:f>
        <x:v>65</x:v>
      </x:c>
      <x:c r="L334" s="16" t="n">
        <x:f>IF(K334&lt;='Wyniki'!$B$6,1,0)</x:f>
        <x:v>0</x:v>
      </x:c>
      <x:c r="M334" s="17" t="n">
        <x:v>0.6853181264062932</x:v>
      </x:c>
      <x:c r="N334" s="18" t="n">
        <x:v>40</x:v>
      </x:c>
      <x:c r="O334" s="17" t="n">
        <x:v>0.6053255706779925</x:v>
      </x:c>
      <x:c r="P334" s="11" t="n">
        <x:f>1/O334</x:f>
        <x:v>1.6520035637680959</x:v>
      </x:c>
      <x:c r="Q334" s="17" t="n">
        <x:v>2.2980120643437365</x:v>
      </x:c>
      <x:c r="R334" s="11" t="n">
        <x:f>Q334/P334</x:f>
        <x:v>1.391045464273784</x:v>
      </x:c>
      <x:c r="S334" s="16" t="n">
        <x:f>COUNTIFS($R$8:$R$437,"&gt;"&amp;R334)+COUNTIFS($R$8:R334,R334)</x:f>
        <x:v>67</x:v>
      </x:c>
      <x:c r="T334" s="16" t="n">
        <x:f>IF(S334&lt;='Wyniki'!$B$6,1,0)</x:f>
        <x:v>0</x:v>
      </x:c>
    </x:row>
    <x:row r="335" ht="22" customHeight="1">
      <x:c r="A335" s="18" t="n">
        <x:v>328</x:v>
      </x:c>
      <x:c r="B335" s="17" t="n">
        <x:v>0.32299254174153574</x:v>
      </x:c>
      <x:c r="C335" s="17" t="n">
        <x:v>0.17567014508517587</x:v>
      </x:c>
      <x:c r="D335" s="18" t="n">
        <x:v>0</x:v>
      </x:c>
      <x:c r="E335" s="17" t="n">
        <x:v>0.11280856780072303</x:v>
      </x:c>
      <x:c r="F335" s="18" t="n">
        <x:v>10</x:v>
      </x:c>
      <x:c r="G335" s="17" t="n">
        <x:v>0.12168051016713902</x:v>
      </x:c>
      <x:c r="H335" s="11" t="n">
        <x:f>1/G335</x:f>
        <x:v>8.218242992459606</x:v>
      </x:c>
      <x:c r="I335" s="17" t="n">
        <x:v>8.157921111898137</x:v>
      </x:c>
      <x:c r="J335" s="11" t="n">
        <x:f>I335/H335</x:f>
        <x:v>0.9926600027990392</x:v>
      </x:c>
      <x:c r="K335" s="16" t="n">
        <x:f>COUNTIFS($J$8:$J$437,"&gt;"&amp;J335)+COUNTIFS($J$8:J335,J335)</x:f>
        <x:v>340</x:v>
      </x:c>
      <x:c r="L335" s="16" t="n">
        <x:f>IF(K335&lt;='Wyniki'!$B$6,1,0)</x:f>
        <x:v>0</x:v>
      </x:c>
      <x:c r="M335" s="17" t="n">
        <x:v>0.27513915425540075</x:v>
      </x:c>
      <x:c r="N335" s="18" t="n">
        <x:v>40</x:v>
      </x:c>
      <x:c r="O335" s="17" t="n">
        <x:v>0.2665288389487258</x:v>
      </x:c>
      <x:c r="P335" s="11" t="n">
        <x:f>1/O335</x:f>
        <x:v>3.75193920456907</x:v>
      </x:c>
      <x:c r="Q335" s="17" t="n">
        <x:v>3.6348835412360287</x:v>
      </x:c>
      <x:c r="R335" s="11" t="n">
        <x:f>Q335/P335</x:f>
        <x:v>0.9688012899594717</x:v>
      </x:c>
      <x:c r="S335" s="16" t="n">
        <x:f>COUNTIFS($R$8:$R$437,"&gt;"&amp;R335)+COUNTIFS($R$8:R335,R335)</x:f>
        <x:v>428</x:v>
      </x:c>
      <x:c r="T335" s="16" t="n">
        <x:f>IF(S335&lt;='Wyniki'!$B$6,1,0)</x:f>
        <x:v>0</x:v>
      </x:c>
    </x:row>
    <x:row r="336" ht="22" customHeight="1">
      <x:c r="A336" s="18" t="n">
        <x:v>329</x:v>
      </x:c>
      <x:c r="B336" s="17" t="n">
        <x:v>-0.4779759863256303</x:v>
      </x:c>
      <x:c r="C336" s="17" t="n">
        <x:v>0.09756786305031726</x:v>
      </x:c>
      <x:c r="D336" s="18" t="n">
        <x:v>0</x:v>
      </x:c>
      <x:c r="E336" s="17" t="n">
        <x:v>0.1726931986203775</x:v>
      </x:c>
      <x:c r="F336" s="18" t="n">
        <x:v>10</x:v>
      </x:c>
      <x:c r="G336" s="17" t="n">
        <x:v>0.16123904016332338</x:v>
      </x:c>
      <x:c r="H336" s="11" t="n">
        <x:f>1/G336</x:f>
        <x:v>6.201971923096745</x:v>
      </x:c>
      <x:c r="I336" s="17" t="n">
        <x:v>6.61793664793556</x:v>
      </x:c>
      <x:c r="J336" s="11" t="n">
        <x:f>I336/H336</x:f>
        <x:v>1.0670697529748114</x:v>
      </x:c>
      <x:c r="K336" s="16" t="n">
        <x:f>COUNTIFS($J$8:$J$437,"&gt;"&amp;J336)+COUNTIFS($J$8:J336,J336)</x:f>
        <x:v>153</x:v>
      </x:c>
      <x:c r="L336" s="16" t="n">
        <x:f>IF(K336&lt;='Wyniki'!$B$6,1,0)</x:f>
        <x:v>0</x:v>
      </x:c>
      <x:c r="M336" s="17" t="n">
        <x:v>0.2946640939592545</x:v>
      </x:c>
      <x:c r="N336" s="18" t="n">
        <x:v>40</x:v>
      </x:c>
      <x:c r="O336" s="17" t="n">
        <x:v>0.3213098072405391</x:v>
      </x:c>
      <x:c r="P336" s="11" t="n">
        <x:f>1/O336</x:f>
        <x:v>3.112261056044827</x:v>
      </x:c>
      <x:c r="Q336" s="17" t="n">
        <x:v>3.1171560254938324</x:v>
      </x:c>
      <x:c r="R336" s="11" t="n">
        <x:f>Q336/P336</x:f>
        <x:v>1.0015728016901082</x:v>
      </x:c>
      <x:c r="S336" s="16" t="n">
        <x:f>COUNTIFS($R$8:$R$437,"&gt;"&amp;R336)+COUNTIFS($R$8:R336,R336)</x:f>
        <x:v>306</x:v>
      </x:c>
      <x:c r="T336" s="16" t="n">
        <x:f>IF(S336&lt;='Wyniki'!$B$6,1,0)</x:f>
        <x:v>0</x:v>
      </x:c>
    </x:row>
    <x:row r="337" ht="22" customHeight="1">
      <x:c r="A337" s="18" t="n">
        <x:v>330</x:v>
      </x:c>
      <x:c r="B337" s="17" t="n">
        <x:v>0.6668853602573803</x:v>
      </x:c>
      <x:c r="C337" s="17" t="n">
        <x:v>-0.1780854373576304</x:v>
      </x:c>
      <x:c r="D337" s="18" t="n">
        <x:v>0</x:v>
      </x:c>
      <x:c r="E337" s="17" t="n">
        <x:v>0.21202111057126902</x:v>
      </x:c>
      <x:c r="F337" s="18" t="n">
        <x:v>10</x:v>
      </x:c>
      <x:c r="G337" s="17" t="n">
        <x:v>0.20244289213191746</x:v>
      </x:c>
      <x:c r="H337" s="11" t="n">
        <x:f>1/G337</x:f>
        <x:v>4.939664660334787</x:v>
      </x:c>
      <x:c r="I337" s="17" t="n">
        <x:v>5.544048400987579</x:v>
      </x:c>
      <x:c r="J337" s="11" t="n">
        <x:f>I337/H337</x:f>
        <x:v>1.1223531924152579</x:v>
      </x:c>
      <x:c r="K337" s="16" t="n">
        <x:f>COUNTIFS($J$8:$J$437,"&gt;"&amp;J337)+COUNTIFS($J$8:J337,J337)</x:f>
        <x:v>100</x:v>
      </x:c>
      <x:c r="L337" s="16" t="n">
        <x:f>IF(K337&lt;='Wyniki'!$B$6,1,0)</x:f>
        <x:v>0</x:v>
      </x:c>
      <x:c r="M337" s="17" t="n">
        <x:v>0.3815769627403797</x:v>
      </x:c>
      <x:c r="N337" s="18" t="n">
        <x:v>40</x:v>
      </x:c>
      <x:c r="O337" s="17" t="n">
        <x:v>0.3769352027754408</x:v>
      </x:c>
      <x:c r="P337" s="11" t="n">
        <x:f>1/O337</x:f>
        <x:v>2.652975876587866</x:v>
      </x:c>
      <x:c r="Q337" s="17" t="n">
        <x:v>2.9208207255813594</x:v>
      </x:c>
      <x:c r="R337" s="11" t="n">
        <x:f>Q337/P337</x:f>
        <x:v>1.1009601524677197</x:v>
      </x:c>
      <x:c r="S337" s="16" t="n">
        <x:f>COUNTIFS($R$8:$R$437,"&gt;"&amp;R337)+COUNTIFS($R$8:R337,R337)</x:f>
        <x:v>155</x:v>
      </x:c>
      <x:c r="T337" s="16" t="n">
        <x:f>IF(S337&lt;='Wyniki'!$B$6,1,0)</x:f>
        <x:v>0</x:v>
      </x:c>
    </x:row>
    <x:row r="338" ht="22" customHeight="1">
      <x:c r="A338" s="18" t="n">
        <x:v>331</x:v>
      </x:c>
      <x:c r="B338" s="17" t="n">
        <x:v>-0.9305794570433699</x:v>
      </x:c>
      <x:c r="C338" s="17" t="n">
        <x:v>-0.00965955456259525</x:v>
      </x:c>
      <x:c r="D338" s="18" t="n">
        <x:v>0</x:v>
      </x:c>
      <x:c r="E338" s="17" t="n">
        <x:v>0.25058163461755445</x:v>
      </x:c>
      <x:c r="F338" s="18" t="n">
        <x:v>10</x:v>
      </x:c>
      <x:c r="G338" s="17" t="n">
        <x:v>0.22822892269168737</x:v>
      </x:c>
      <x:c r="H338" s="11" t="n">
        <x:f>1/G338</x:f>
        <x:v>4.381565614936947</x:v>
      </x:c>
      <x:c r="I338" s="17" t="n">
        <x:v>4.37406895375394</x:v>
      </x:c>
      <x:c r="J338" s="11" t="n">
        <x:f>I338/H338</x:f>
        <x:v>0.9982890450944177</x:v>
      </x:c>
      <x:c r="K338" s="16" t="n">
        <x:f>COUNTIFS($J$8:$J$437,"&gt;"&amp;J338)+COUNTIFS($J$8:J338,J338)</x:f>
        <x:v>317</x:v>
      </x:c>
      <x:c r="L338" s="16" t="n">
        <x:f>IF(K338&lt;='Wyniki'!$B$6,1,0)</x:f>
        <x:v>0</x:v>
      </x:c>
      <x:c r="M338" s="17" t="n">
        <x:v>0.444776918243069</x:v>
      </x:c>
      <x:c r="N338" s="18" t="n">
        <x:v>40</x:v>
      </x:c>
      <x:c r="O338" s="17" t="n">
        <x:v>0.46185770910033896</x:v>
      </x:c>
      <x:c r="P338" s="11" t="n">
        <x:f>1/O338</x:f>
        <x:v>2.1651690126552574</x:v>
      </x:c>
      <x:c r="Q338" s="17" t="n">
        <x:v>2.4020631303002498</x:v>
      </x:c>
      <x:c r="R338" s="11" t="n">
        <x:f>Q338/P338</x:f>
        <x:v>1.1094113744748624</x:v>
      </x:c>
      <x:c r="S338" s="16" t="n">
        <x:f>COUNTIFS($R$8:$R$437,"&gt;"&amp;R338)+COUNTIFS($R$8:R338,R338)</x:f>
        <x:v>147</x:v>
      </x:c>
      <x:c r="T338" s="16" t="n">
        <x:f>IF(S338&lt;='Wyniki'!$B$6,1,0)</x:f>
        <x:v>0</x:v>
      </x:c>
    </x:row>
    <x:row r="339" ht="22" customHeight="1">
      <x:c r="A339" s="18" t="n">
        <x:v>332</x:v>
      </x:c>
      <x:c r="B339" s="17" t="n">
        <x:v>-0.496332702135882</x:v>
      </x:c>
      <x:c r="C339" s="17" t="n">
        <x:v>-0.18828751626513532</x:v>
      </x:c>
      <x:c r="D339" s="18" t="n">
        <x:v>0</x:v>
      </x:c>
      <x:c r="E339" s="17" t="n">
        <x:v>0.13467211241270358</x:v>
      </x:c>
      <x:c r="F339" s="18" t="n">
        <x:v>10</x:v>
      </x:c>
      <x:c r="G339" s="17" t="n">
        <x:v>0.13533089182708805</x:v>
      </x:c>
      <x:c r="H339" s="11" t="n">
        <x:f>1/G339</x:f>
        <x:v>7.3892958695469</x:v>
      </x:c>
      <x:c r="I339" s="17" t="n">
        <x:v>7.199410687581252</x:v>
      </x:c>
      <x:c r="J339" s="11" t="n">
        <x:f>I339/H339</x:f>
        <x:v>0.97430266897984</x:v>
      </x:c>
      <x:c r="K339" s="16" t="n">
        <x:f>COUNTIFS($J$8:$J$437,"&gt;"&amp;J339)+COUNTIFS($J$8:J339,J339)</x:f>
        <x:v>395</x:v>
      </x:c>
      <x:c r="L339" s="16" t="n">
        <x:f>IF(K339&lt;='Wyniki'!$B$6,1,0)</x:f>
        <x:v>0</x:v>
      </x:c>
      <x:c r="M339" s="17" t="n">
        <x:v>0.3297573962659094</x:v>
      </x:c>
      <x:c r="N339" s="18" t="n">
        <x:v>40</x:v>
      </x:c>
      <x:c r="O339" s="17" t="n">
        <x:v>0.3309009220023994</x:v>
      </x:c>
      <x:c r="P339" s="11" t="n">
        <x:f>1/O339</x:f>
        <x:v>3.0220526251442386</x:v>
      </x:c>
      <x:c r="Q339" s="17" t="n">
        <x:v>3.0610469573593355</x:v>
      </x:c>
      <x:c r="R339" s="11" t="n">
        <x:f>Q339/P339</x:f>
        <x:v>1.0129032604828434</x:v>
      </x:c>
      <x:c r="S339" s="16" t="n">
        <x:f>COUNTIFS($R$8:$R$437,"&gt;"&amp;R339)+COUNTIFS($R$8:R339,R339)</x:f>
        <x:v>255</x:v>
      </x:c>
      <x:c r="T339" s="16" t="n">
        <x:f>IF(S339&lt;='Wyniki'!$B$6,1,0)</x:f>
        <x:v>0</x:v>
      </x:c>
    </x:row>
    <x:row r="340" ht="22" customHeight="1">
      <x:c r="A340" s="18" t="n">
        <x:v>333</x:v>
      </x:c>
      <x:c r="B340" s="17" t="n">
        <x:v>-0.044873273326816544</x:v>
      </x:c>
      <x:c r="C340" s="17" t="n">
        <x:v>-0.9381087188085345</x:v>
      </x:c>
      <x:c r="D340" s="18" t="n">
        <x:v>0</x:v>
      </x:c>
      <x:c r="E340" s="17" t="n">
        <x:v>0.24793930219828503</x:v>
      </x:c>
      <x:c r="F340" s="18" t="n">
        <x:v>10</x:v>
      </x:c>
      <x:c r="G340" s="17" t="n">
        <x:v>0.274543743751788</x:v>
      </x:c>
      <x:c r="H340" s="11" t="n">
        <x:f>1/G340</x:f>
        <x:v>3.642406803136221</x:v>
      </x:c>
      <x:c r="I340" s="17" t="n">
        <x:v>4.217790235804538</x:v>
      </x:c>
      <x:c r="J340" s="11" t="n">
        <x:f>I340/H340</x:f>
        <x:v>1.1579679216975145</x:v>
      </x:c>
      <x:c r="K340" s="16" t="n">
        <x:f>COUNTIFS($J$8:$J$437,"&gt;"&amp;J340)+COUNTIFS($J$8:J340,J340)</x:f>
        <x:v>78</x:v>
      </x:c>
      <x:c r="L340" s="16" t="n">
        <x:f>IF(K340&lt;='Wyniki'!$B$6,1,0)</x:f>
        <x:v>0</x:v>
      </x:c>
      <x:c r="M340" s="17" t="n">
        <x:v>0.48188429586992065</x:v>
      </x:c>
      <x:c r="N340" s="18" t="n">
        <x:v>40</x:v>
      </x:c>
      <x:c r="O340" s="17" t="n">
        <x:v>0.4370170257248274</x:v>
      </x:c>
      <x:c r="P340" s="11" t="n">
        <x:f>1/O340</x:f>
        <x:v>2.2882403685335158</x:v>
      </x:c>
      <x:c r="Q340" s="17" t="n">
        <x:v>2.6796045262079815</x:v>
      </x:c>
      <x:c r="R340" s="11" t="n">
        <x:f>Q340/P340</x:f>
        <x:v>1.1710328001621975</x:v>
      </x:c>
      <x:c r="S340" s="16" t="n">
        <x:f>COUNTIFS($R$8:$R$437,"&gt;"&amp;R340)+COUNTIFS($R$8:R340,R340)</x:f>
        <x:v>123</x:v>
      </x:c>
      <x:c r="T340" s="16" t="n">
        <x:f>IF(S340&lt;='Wyniki'!$B$6,1,0)</x:f>
        <x:v>0</x:v>
      </x:c>
    </x:row>
    <x:row r="341" ht="22" customHeight="1">
      <x:c r="A341" s="18" t="n">
        <x:v>334</x:v>
      </x:c>
      <x:c r="B341" s="17" t="n">
        <x:v>-0.888612086626373</x:v>
      </x:c>
      <x:c r="C341" s="17" t="n">
        <x:v>0.2651367595390389</x:v>
      </x:c>
      <x:c r="D341" s="18" t="n">
        <x:v>0</x:v>
      </x:c>
      <x:c r="E341" s="17" t="n">
        <x:v>0.2519411359673018</x:v>
      </x:c>
      <x:c r="F341" s="18" t="n">
        <x:v>10</x:v>
      </x:c>
      <x:c r="G341" s="17" t="n">
        <x:v>0.2530884763253292</x:v>
      </x:c>
      <x:c r="H341" s="11" t="n">
        <x:f>1/G341</x:f>
        <x:v>3.9511874049712294</x:v>
      </x:c>
      <x:c r="I341" s="17" t="n">
        <x:v>4.427893187210556</x:v>
      </x:c>
      <x:c r="J341" s="11" t="n">
        <x:f>I341/H341</x:f>
        <x:v>1.1206487400824252</x:v>
      </x:c>
      <x:c r="K341" s="16" t="n">
        <x:f>COUNTIFS($J$8:$J$437,"&gt;"&amp;J341)+COUNTIFS($J$8:J341,J341)</x:f>
        <x:v>103</x:v>
      </x:c>
      <x:c r="L341" s="16" t="n">
        <x:f>IF(K341&lt;='Wyniki'!$B$6,1,0)</x:f>
        <x:v>0</x:v>
      </x:c>
      <x:c r="M341" s="17" t="n">
        <x:v>0.515352465862965</x:v>
      </x:c>
      <x:c r="N341" s="18" t="n">
        <x:v>40</x:v>
      </x:c>
      <x:c r="O341" s="17" t="n">
        <x:v>0.46959388352344983</x:v>
      </x:c>
      <x:c r="P341" s="11" t="n">
        <x:f>1/O341</x:f>
        <x:v>2.1294996274159597</x:v>
      </x:c>
      <x:c r="Q341" s="17" t="n">
        <x:v>2.488914041890638</x:v>
      </x:c>
      <x:c r="R341" s="11" t="n">
        <x:f>Q341/P341</x:f>
        <x:v>1.168778810687471</x:v>
      </x:c>
      <x:c r="S341" s="16" t="n">
        <x:f>COUNTIFS($R$8:$R$437,"&gt;"&amp;R341)+COUNTIFS($R$8:R341,R341)</x:f>
        <x:v>124</x:v>
      </x:c>
      <x:c r="T341" s="16" t="n">
        <x:f>IF(S341&lt;='Wyniki'!$B$6,1,0)</x:f>
        <x:v>0</x:v>
      </x:c>
    </x:row>
    <x:row r="342" ht="22" customHeight="1">
      <x:c r="A342" s="18" t="n">
        <x:v>335</x:v>
      </x:c>
      <x:c r="B342" s="17" t="n">
        <x:v>-0.2874952828933242</x:v>
      </x:c>
      <x:c r="C342" s="17" t="n">
        <x:v>-1.410609388001312</x:v>
      </x:c>
      <x:c r="D342" s="18" t="n">
        <x:v>0</x:v>
      </x:c>
      <x:c r="E342" s="17" t="n">
        <x:v>0.6045074034804993</x:v>
      </x:c>
      <x:c r="F342" s="18" t="n">
        <x:v>10</x:v>
      </x:c>
      <x:c r="G342" s="17" t="n">
        <x:v>0.5176418902991308</x:v>
      </x:c>
      <x:c r="H342" s="11" t="n">
        <x:f>1/G342</x:f>
        <x:v>1.9318374705380355</x:v>
      </x:c>
      <x:c r="I342" s="17" t="n">
        <x:v>3.3665861999117204</x:v>
      </x:c>
      <x:c r="J342" s="11" t="n">
        <x:f>I342/H342</x:f>
        <x:v>1.7426860443772703</x:v>
      </x:c>
      <x:c r="K342" s="16" t="n">
        <x:f>COUNTIFS($J$8:$J$437,"&gt;"&amp;J342)+COUNTIFS($J$8:J342,J342)</x:f>
        <x:v>8</x:v>
      </x:c>
      <x:c r="L342" s="16" t="n">
        <x:f>IF(K342&lt;='Wyniki'!$B$6,1,0)</x:f>
        <x:v>1</x:v>
      </x:c>
      <x:c r="M342" s="17" t="n">
        <x:v>0.8643687749852073</x:v>
      </x:c>
      <x:c r="N342" s="18" t="n">
        <x:v>40</x:v>
      </x:c>
      <x:c r="O342" s="17" t="n">
        <x:v>0.7311916085060622</x:v>
      </x:c>
      <x:c r="P342" s="11" t="n">
        <x:f>1/O342</x:f>
        <x:v>1.3676305750323845</x:v>
      </x:c>
      <x:c r="Q342" s="17" t="n">
        <x:v>2.3606565937419455</x:v>
      </x:c>
      <x:c r="R342" s="11" t="n">
        <x:f>Q342/P342</x:f>
        <x:v>1.7260922919086148</x:v>
      </x:c>
      <x:c r="S342" s="16" t="n">
        <x:f>COUNTIFS($R$8:$R$437,"&gt;"&amp;R342)+COUNTIFS($R$8:R342,R342)</x:f>
        <x:v>38</x:v>
      </x:c>
      <x:c r="T342" s="16" t="n">
        <x:f>IF(S342&lt;='Wyniki'!$B$6,1,0)</x:f>
        <x:v>0</x:v>
      </x:c>
    </x:row>
    <x:row r="343" ht="22" customHeight="1">
      <x:c r="A343" s="18" t="n">
        <x:v>336</x:v>
      </x:c>
      <x:c r="B343" s="17" t="n">
        <x:v>0.4316642201344743</x:v>
      </x:c>
      <x:c r="C343" s="17" t="n">
        <x:v>0.14980336540083192</x:v>
      </x:c>
      <x:c r="D343" s="18" t="n">
        <x:v>0</x:v>
      </x:c>
      <x:c r="E343" s="17" t="n">
        <x:v>0.11170776148494185</x:v>
      </x:c>
      <x:c r="F343" s="18" t="n">
        <x:v>10</x:v>
      </x:c>
      <x:c r="G343" s="17" t="n">
        <x:v>0.11282122111136146</x:v>
      </x:c>
      <x:c r="H343" s="11" t="n">
        <x:f>1/G343</x:f>
        <x:v>8.863580717788356</x:v>
      </x:c>
      <x:c r="I343" s="17" t="n">
        <x:v>8.463104172095385</x:v>
      </x:c>
      <x:c r="J343" s="11" t="n">
        <x:f>I343/H343</x:f>
        <x:v>0.954817747088459</x:v>
      </x:c>
      <x:c r="K343" s="16" t="n">
        <x:f>COUNTIFS($J$8:$J$437,"&gt;"&amp;J343)+COUNTIFS($J$8:J343,J343)</x:f>
        <x:v>418</x:v>
      </x:c>
      <x:c r="L343" s="16" t="n">
        <x:f>IF(K343&lt;='Wyniki'!$B$6,1,0)</x:f>
        <x:v>0</x:v>
      </x:c>
      <x:c r="M343" s="17" t="n">
        <x:v>0.27522316868364066</x:v>
      </x:c>
      <x:c r="N343" s="18" t="n">
        <x:v>40</x:v>
      </x:c>
      <x:c r="O343" s="17" t="n">
        <x:v>0.27806273431234335</x:v>
      </x:c>
      <x:c r="P343" s="11" t="n">
        <x:f>1/O343</x:f>
        <x:v>3.5963107479073995</x:v>
      </x:c>
      <x:c r="Q343" s="17" t="n">
        <x:v>3.5014047905128907</x:v>
      </x:c>
      <x:c r="R343" s="11" t="n">
        <x:f>Q343/P343</x:f>
        <x:v>0.9736101899843521</x:v>
      </x:c>
      <x:c r="S343" s="16" t="n">
        <x:f>COUNTIFS($R$8:$R$437,"&gt;"&amp;R343)+COUNTIFS($R$8:R343,R343)</x:f>
        <x:v>415</x:v>
      </x:c>
      <x:c r="T343" s="16" t="n">
        <x:f>IF(S343&lt;='Wyniki'!$B$6,1,0)</x:f>
        <x:v>0</x:v>
      </x:c>
    </x:row>
    <x:row r="344" ht="22" customHeight="1">
      <x:c r="A344" s="18" t="n">
        <x:v>337</x:v>
      </x:c>
      <x:c r="B344" s="17" t="n">
        <x:v>-0.3926311532200662</x:v>
      </x:c>
      <x:c r="C344" s="17" t="n">
        <x:v>-0.7242566160820328</x:v>
      </x:c>
      <x:c r="D344" s="18" t="n">
        <x:v>0</x:v>
      </x:c>
      <x:c r="E344" s="17" t="n">
        <x:v>0.15802431907501</x:v>
      </x:c>
      <x:c r="F344" s="18" t="n">
        <x:v>10</x:v>
      </x:c>
      <x:c r="G344" s="17" t="n">
        <x:v>0.17435192427073737</x:v>
      </x:c>
      <x:c r="H344" s="11" t="n">
        <x:f>1/G344</x:f>
        <x:v>5.7355260297969455</x:v>
      </x:c>
      <x:c r="I344" s="17" t="n">
        <x:v>5.863751829382996</x:v>
      </x:c>
      <x:c r="J344" s="11" t="n">
        <x:f>I344/H344</x:f>
        <x:v>1.0223564148989819</x:v>
      </x:c>
      <x:c r="K344" s="16" t="n">
        <x:f>COUNTIFS($J$8:$J$437,"&gt;"&amp;J344)+COUNTIFS($J$8:J344,J344)</x:f>
        <x:v>239</x:v>
      </x:c>
      <x:c r="L344" s="16" t="n">
        <x:f>IF(K344&lt;='Wyniki'!$B$6,1,0)</x:f>
        <x:v>0</x:v>
      </x:c>
      <x:c r="M344" s="17" t="n">
        <x:v>0.40825024784853964</x:v>
      </x:c>
      <x:c r="N344" s="18" t="n">
        <x:v>40</x:v>
      </x:c>
      <x:c r="O344" s="17" t="n">
        <x:v>0.38450252074209024</x:v>
      </x:c>
      <x:c r="P344" s="11" t="n">
        <x:f>1/O344</x:f>
        <x:v>2.600763183736739</x:v>
      </x:c>
      <x:c r="Q344" s="17" t="n">
        <x:v>2.685892106189486</x:v>
      </x:c>
      <x:c r="R344" s="11" t="n">
        <x:f>Q344/P344</x:f>
        <x:v>1.0327322852711391</x:v>
      </x:c>
      <x:c r="S344" s="16" t="n">
        <x:f>COUNTIFS($R$8:$R$437,"&gt;"&amp;R344)+COUNTIFS($R$8:R344,R344)</x:f>
        <x:v>222</x:v>
      </x:c>
      <x:c r="T344" s="16" t="n">
        <x:f>IF(S344&lt;='Wyniki'!$B$6,1,0)</x:f>
        <x:v>0</x:v>
      </x:c>
    </x:row>
    <x:row r="345" ht="22" customHeight="1">
      <x:c r="A345" s="18" t="n">
        <x:v>338</x:v>
      </x:c>
      <x:c r="B345" s="17" t="n">
        <x:v>0.4596943429728855</x:v>
      </x:c>
      <x:c r="C345" s="17" t="n">
        <x:v>0.1921428424082363</x:v>
      </x:c>
      <x:c r="D345" s="18" t="n">
        <x:v>0</x:v>
      </x:c>
      <x:c r="E345" s="17" t="n">
        <x:v>0.11812336201446079</x:v>
      </x:c>
      <x:c r="F345" s="18" t="n">
        <x:v>10</x:v>
      </x:c>
      <x:c r="G345" s="17" t="n">
        <x:v>0.11168152884648357</x:v>
      </x:c>
      <x:c r="H345" s="11" t="n">
        <x:f>1/G345</x:f>
        <x:v>8.954032151320126</x:v>
      </x:c>
      <x:c r="I345" s="17" t="n">
        <x:v>8.507863181959952</x:v>
      </x:c>
      <x:c r="J345" s="11" t="n">
        <x:f>I345/H345</x:f>
        <x:v>0.9501711673779958</x:v>
      </x:c>
      <x:c r="K345" s="16" t="n">
        <x:f>COUNTIFS($J$8:$J$437,"&gt;"&amp;J345)+COUNTIFS($J$8:J345,J345)</x:f>
        <x:v>425</x:v>
      </x:c>
      <x:c r="L345" s="16" t="n">
        <x:f>IF(K345&lt;='Wyniki'!$B$6,1,0)</x:f>
        <x:v>0</x:v>
      </x:c>
      <x:c r="M345" s="17" t="n">
        <x:v>0.2667726176171335</x:v>
      </x:c>
      <x:c r="N345" s="18" t="n">
        <x:v>40</x:v>
      </x:c>
      <x:c r="O345" s="17" t="n">
        <x:v>0.28028366548670464</x:v>
      </x:c>
      <x:c r="P345" s="11" t="n">
        <x:f>1/O345</x:f>
        <x:v>3.567814051038359</x:v>
      </x:c>
      <x:c r="Q345" s="17" t="n">
        <x:v>3.4914760937852867</x:v>
      </x:c>
      <x:c r="R345" s="11" t="n">
        <x:f>Q345/P345</x:f>
        <x:v>0.9786037175253415</x:v>
      </x:c>
      <x:c r="S345" s="16" t="n">
        <x:f>COUNTIFS($R$8:$R$437,"&gt;"&amp;R345)+COUNTIFS($R$8:R345,R345)</x:f>
        <x:v>395</x:v>
      </x:c>
      <x:c r="T345" s="16" t="n">
        <x:f>IF(S345&lt;='Wyniki'!$B$6,1,0)</x:f>
        <x:v>0</x:v>
      </x:c>
    </x:row>
    <x:row r="346" ht="22" customHeight="1">
      <x:c r="A346" s="18" t="n">
        <x:v>339</x:v>
      </x:c>
      <x:c r="B346" s="17" t="n">
        <x:v>1.3104312554762405</x:v>
      </x:c>
      <x:c r="C346" s="17" t="n">
        <x:v>0.23110372929871556</x:v>
      </x:c>
      <x:c r="D346" s="18" t="n">
        <x:v>0</x:v>
      </x:c>
      <x:c r="E346" s="17" t="n">
        <x:v>0.47355373538599027</x:v>
      </x:c>
      <x:c r="F346" s="18" t="n">
        <x:v>10</x:v>
      </x:c>
      <x:c r="G346" s="17" t="n">
        <x:v>0.40849815629179514</x:v>
      </x:c>
      <x:c r="H346" s="11" t="n">
        <x:f>1/G346</x:f>
        <x:v>2.4479914648272927</x:v>
      </x:c>
      <x:c r="I346" s="17" t="n">
        <x:v>3.2564733955646465</x:v>
      </x:c>
      <x:c r="J346" s="11" t="n">
        <x:f>I346/H346</x:f>
        <x:v>1.33026337810144</x:v>
      </x:c>
      <x:c r="K346" s="16" t="n">
        <x:f>COUNTIFS($J$8:$J$437,"&gt;"&amp;J346)+COUNTIFS($J$8:J346,J346)</x:f>
        <x:v>38</x:v>
      </x:c>
      <x:c r="L346" s="16" t="n">
        <x:f>IF(K346&lt;='Wyniki'!$B$6,1,0)</x:f>
        <x:v>0</x:v>
      </x:c>
      <x:c r="M346" s="17" t="n">
        <x:v>0.8093278212809617</x:v>
      </x:c>
      <x:c r="N346" s="18" t="n">
        <x:v>40</x:v>
      </x:c>
      <x:c r="O346" s="17" t="n">
        <x:v>0.6708980462214931</x:v>
      </x:c>
      <x:c r="P346" s="11" t="n">
        <x:f>1/O346</x:f>
        <x:v>1.4905394428140215</x:v>
      </x:c>
      <x:c r="Q346" s="17" t="n">
        <x:v>2.41922903264362</x:v>
      </x:c>
      <x:c r="R346" s="11" t="n">
        <x:f>Q346/P346</x:f>
        <x:v>1.6230560313629174</x:v>
      </x:c>
      <x:c r="S346" s="16" t="n">
        <x:f>COUNTIFS($R$8:$R$437,"&gt;"&amp;R346)+COUNTIFS($R$8:R346,R346)</x:f>
        <x:v>43</x:v>
      </x:c>
      <x:c r="T346" s="16" t="n">
        <x:f>IF(S346&lt;='Wyniki'!$B$6,1,0)</x:f>
        <x:v>0</x:v>
      </x:c>
    </x:row>
    <x:row r="347" ht="22" customHeight="1">
      <x:c r="A347" s="18" t="n">
        <x:v>340</x:v>
      </x:c>
      <x:c r="B347" s="17" t="n">
        <x:v>0.21323672769410817</x:v>
      </x:c>
      <x:c r="C347" s="17" t="n">
        <x:v>-0.09181036155971083</x:v>
      </x:c>
      <x:c r="D347" s="18" t="n">
        <x:v>0</x:v>
      </x:c>
      <x:c r="E347" s="17" t="n">
        <x:v>0.13435236488619828</x:v>
      </x:c>
      <x:c r="F347" s="18" t="n">
        <x:v>10</x:v>
      </x:c>
      <x:c r="G347" s="17" t="n">
        <x:v>0.13422962617997308</x:v>
      </x:c>
      <x:c r="H347" s="11" t="n">
        <x:f>1/G347</x:f>
        <x:v>7.449920173801385</x:v>
      </x:c>
      <x:c r="I347" s="17" t="n">
        <x:v>7.556811512754495</x:v>
      </x:c>
      <x:c r="J347" s="11" t="n">
        <x:f>I347/H347</x:f>
        <x:v>1.0143479844695527</x:v>
      </x:c>
      <x:c r="K347" s="16" t="n">
        <x:f>COUNTIFS($J$8:$J$437,"&gt;"&amp;J347)+COUNTIFS($J$8:J347,J347)</x:f>
        <x:v>252</x:v>
      </x:c>
      <x:c r="L347" s="16" t="n">
        <x:f>IF(K347&lt;='Wyniki'!$B$6,1,0)</x:f>
        <x:v>0</x:v>
      </x:c>
      <x:c r="M347" s="17" t="n">
        <x:v>0.2592306430079707</x:v>
      </x:c>
      <x:c r="N347" s="18" t="n">
        <x:v>40</x:v>
      </x:c>
      <x:c r="O347" s="17" t="n">
        <x:v>0.2682580157196023</x:v>
      </x:c>
      <x:c r="P347" s="11" t="n">
        <x:f>1/O347</x:f>
        <x:v>3.7277544058376018</x:v>
      </x:c>
      <x:c r="Q347" s="17" t="n">
        <x:v>3.658877680121455</x:v>
      </x:c>
      <x:c r="R347" s="11" t="n">
        <x:f>Q347/P347</x:f>
        <x:v>0.9815232662301232</x:v>
      </x:c>
      <x:c r="S347" s="16" t="n">
        <x:f>COUNTIFS($R$8:$R$437,"&gt;"&amp;R347)+COUNTIFS($R$8:R347,R347)</x:f>
        <x:v>380</x:v>
      </x:c>
      <x:c r="T347" s="16" t="n">
        <x:f>IF(S347&lt;='Wyniki'!$B$6,1,0)</x:f>
        <x:v>0</x:v>
      </x:c>
    </x:row>
    <x:row r="348" ht="22" customHeight="1">
      <x:c r="A348" s="18" t="n">
        <x:v>341</x:v>
      </x:c>
      <x:c r="B348" s="17" t="n">
        <x:v>0.4492267269604351</x:v>
      </x:c>
      <x:c r="C348" s="17" t="n">
        <x:v>0.3437968606864846</x:v>
      </x:c>
      <x:c r="D348" s="18" t="n">
        <x:v>0</x:v>
      </x:c>
      <x:c r="E348" s="17" t="n">
        <x:v>0.12121911603178763</x:v>
      </x:c>
      <x:c r="F348" s="18" t="n">
        <x:v>10</x:v>
      </x:c>
      <x:c r="G348" s="17" t="n">
        <x:v>0.14309416153475396</x:v>
      </x:c>
      <x:c r="H348" s="11" t="n">
        <x:f>1/G348</x:f>
        <x:v>6.988405321883977</x:v>
      </x:c>
      <x:c r="I348" s="17" t="n">
        <x:v>7.224377270044253</x:v>
      </x:c>
      <x:c r="J348" s="11" t="n">
        <x:f>I348/H348</x:f>
        <x:v>1.0337662080677172</x:v>
      </x:c>
      <x:c r="K348" s="16" t="n">
        <x:f>COUNTIFS($J$8:$J$437,"&gt;"&amp;J348)+COUNTIFS($J$8:J348,J348)</x:f>
        <x:v>207</x:v>
      </x:c>
      <x:c r="L348" s="16" t="n">
        <x:f>IF(K348&lt;='Wyniki'!$B$6,1,0)</x:f>
        <x:v>0</x:v>
      </x:c>
      <x:c r="M348" s="17" t="n">
        <x:v>0.2854952040091186</x:v>
      </x:c>
      <x:c r="N348" s="18" t="n">
        <x:v>40</x:v>
      </x:c>
      <x:c r="O348" s="17" t="n">
        <x:v>0.2909172834845385</x:v>
      </x:c>
      <x:c r="P348" s="11" t="n">
        <x:f>1/O348</x:f>
        <x:v>3.4374031959264717</x:v>
      </x:c>
      <x:c r="Q348" s="17" t="n">
        <x:v>3.409460689958828</x:v>
      </x:c>
      <x:c r="R348" s="11" t="n">
        <x:f>Q348/P348</x:f>
        <x:v>0.9918710420701425</x:v>
      </x:c>
      <x:c r="S348" s="16" t="n">
        <x:f>COUNTIFS($R$8:$R$437,"&gt;"&amp;R348)+COUNTIFS($R$8:R348,R348)</x:f>
        <x:v>340</x:v>
      </x:c>
      <x:c r="T348" s="16" t="n">
        <x:f>IF(S348&lt;='Wyniki'!$B$6,1,0)</x:f>
        <x:v>0</x:v>
      </x:c>
    </x:row>
    <x:row r="349" ht="22" customHeight="1">
      <x:c r="A349" s="18" t="n">
        <x:v>342</x:v>
      </x:c>
      <x:c r="B349" s="17" t="n">
        <x:v>0.6884487547108573</x:v>
      </x:c>
      <x:c r="C349" s="17" t="n">
        <x:v>-0.2867276052505066</x:v>
      </x:c>
      <x:c r="D349" s="18" t="n">
        <x:v>0</x:v>
      </x:c>
      <x:c r="E349" s="17" t="n">
        <x:v>0.20282262925002123</x:v>
      </x:c>
      <x:c r="F349" s="18" t="n">
        <x:v>10</x:v>
      </x:c>
      <x:c r="G349" s="17" t="n">
        <x:v>0.21513487321227456</x:v>
      </x:c>
      <x:c r="H349" s="11" t="n">
        <x:f>1/G349</x:f>
        <x:v>4.648246865180688</x:v>
      </x:c>
      <x:c r="I349" s="17" t="n">
        <x:v>4.795344685560037</x:v>
      </x:c>
      <x:c r="J349" s="11" t="n">
        <x:f>I349/H349</x:f>
        <x:v>1.0316458709371132</x:v>
      </x:c>
      <x:c r="K349" s="16" t="n">
        <x:f>COUNTIFS($J$8:$J$437,"&gt;"&amp;J349)+COUNTIFS($J$8:J349,J349)</x:f>
        <x:v>212</x:v>
      </x:c>
      <x:c r="L349" s="16" t="n">
        <x:f>IF(K349&lt;='Wyniki'!$B$6,1,0)</x:f>
        <x:v>0</x:v>
      </x:c>
      <x:c r="M349" s="17" t="n">
        <x:v>0.40952327142078687</x:v>
      </x:c>
      <x:c r="N349" s="18" t="n">
        <x:v>40</x:v>
      </x:c>
      <x:c r="O349" s="17" t="n">
        <x:v>0.41862099700848143</x:v>
      </x:c>
      <x:c r="P349" s="11" t="n">
        <x:f>1/O349</x:f>
        <x:v>2.3887956102205252</x:v>
      </x:c>
      <x:c r="Q349" s="17" t="n">
        <x:v>2.715614908931969</x:v>
      </x:c>
      <x:c r="R349" s="11" t="n">
        <x:f>Q349/P349</x:f>
        <x:v>1.1368134206681975</x:v>
      </x:c>
      <x:c r="S349" s="16" t="n">
        <x:f>COUNTIFS($R$8:$R$437,"&gt;"&amp;R349)+COUNTIFS($R$8:R349,R349)</x:f>
        <x:v>134</x:v>
      </x:c>
      <x:c r="T349" s="16" t="n">
        <x:f>IF(S349&lt;='Wyniki'!$B$6,1,0)</x:f>
        <x:v>0</x:v>
      </x:c>
    </x:row>
    <x:row r="350" ht="22" customHeight="1">
      <x:c r="A350" s="18" t="n">
        <x:v>343</x:v>
      </x:c>
      <x:c r="B350" s="17" t="n">
        <x:v>-0.2394741101191793</x:v>
      </x:c>
      <x:c r="C350" s="17" t="n">
        <x:v>-0.2635067440015891</x:v>
      </x:c>
      <x:c r="D350" s="18" t="n">
        <x:v>0</x:v>
      </x:c>
      <x:c r="E350" s="17" t="n">
        <x:v>0.18803723269316608</x:v>
      </x:c>
      <x:c r="F350" s="18" t="n">
        <x:v>10</x:v>
      </x:c>
      <x:c r="G350" s="17" t="n">
        <x:v>0.16643117870991833</x:v>
      </x:c>
      <x:c r="H350" s="11" t="n">
        <x:f>1/G350</x:f>
        <x:v>6.008489561580001</x:v>
      </x:c>
      <x:c r="I350" s="17" t="n">
        <x:v>6.398874412199666</x:v>
      </x:c>
      <x:c r="J350" s="11" t="n">
        <x:f>I350/H350</x:f>
        <x:v>1.0649722108391262</x:v>
      </x:c>
      <x:c r="K350" s="16" t="n">
        <x:f>COUNTIFS($J$8:$J$437,"&gt;"&amp;J350)+COUNTIFS($J$8:J350,J350)</x:f>
        <x:v>155</x:v>
      </x:c>
      <x:c r="L350" s="16" t="n">
        <x:f>IF(K350&lt;='Wyniki'!$B$6,1,0)</x:f>
        <x:v>0</x:v>
      </x:c>
      <x:c r="M350" s="17" t="n">
        <x:v>0.2977488873943005</x:v>
      </x:c>
      <x:c r="N350" s="18" t="n">
        <x:v>40</x:v>
      </x:c>
      <x:c r="O350" s="17" t="n">
        <x:v>0.29923592616301825</x:v>
      </x:c>
      <x:c r="P350" s="11" t="n">
        <x:f>1/O350</x:f>
        <x:v>3.3418447203936945</x:v>
      </x:c>
      <x:c r="Q350" s="17" t="n">
        <x:v>3.3590517250872707</x:v>
      </x:c>
      <x:c r="R350" s="11" t="n">
        <x:f>Q350/P350</x:f>
        <x:v>1.0051489539859737</x:v>
      </x:c>
      <x:c r="S350" s="16" t="n">
        <x:f>COUNTIFS($R$8:$R$437,"&gt;"&amp;R350)+COUNTIFS($R$8:R350,R350)</x:f>
        <x:v>287</x:v>
      </x:c>
      <x:c r="T350" s="16" t="n">
        <x:f>IF(S350&lt;='Wyniki'!$B$6,1,0)</x:f>
        <x:v>0</x:v>
      </x:c>
    </x:row>
    <x:row r="351" ht="22" customHeight="1">
      <x:c r="A351" s="18" t="n">
        <x:v>344</x:v>
      </x:c>
      <x:c r="B351" s="17" t="n">
        <x:v>0.43494094664844407</x:v>
      </x:c>
      <x:c r="C351" s="17" t="n">
        <x:v>0.8241059421632027</x:v>
      </x:c>
      <x:c r="D351" s="18" t="n">
        <x:v>0</x:v>
      </x:c>
      <x:c r="E351" s="17" t="n">
        <x:v>0.2553325904713634</x:v>
      </x:c>
      <x:c r="F351" s="18" t="n">
        <x:v>10</x:v>
      </x:c>
      <x:c r="G351" s="17" t="n">
        <x:v>0.25222245666499526</x:v>
      </x:c>
      <x:c r="H351" s="11" t="n">
        <x:f>1/G351</x:f>
        <x:v>3.964754023977379</x:v>
      </x:c>
      <x:c r="I351" s="17" t="n">
        <x:v>4.679387663500751</x:v>
      </x:c>
      <x:c r="J351" s="11" t="n">
        <x:f>I351/H351</x:f>
        <x:v>1.1802466521760318</x:v>
      </x:c>
      <x:c r="K351" s="16" t="n">
        <x:f>COUNTIFS($J$8:$J$437,"&gt;"&amp;J351)+COUNTIFS($J$8:J351,J351)</x:f>
        <x:v>73</x:v>
      </x:c>
      <x:c r="L351" s="16" t="n">
        <x:f>IF(K351&lt;='Wyniki'!$B$6,1,0)</x:f>
        <x:v>0</x:v>
      </x:c>
      <x:c r="M351" s="17" t="n">
        <x:v>0.48052148471023753</x:v>
      </x:c>
      <x:c r="N351" s="18" t="n">
        <x:v>40</x:v>
      </x:c>
      <x:c r="O351" s="17" t="n">
        <x:v>0.4521478206100456</x:v>
      </x:c>
      <x:c r="P351" s="11" t="n">
        <x:f>1/O351</x:f>
        <x:v>2.2116660844473004</x:v>
      </x:c>
      <x:c r="Q351" s="17" t="n">
        <x:v>2.636165596015554</x:v>
      </x:c>
      <x:c r="R351" s="11" t="n">
        <x:f>Q351/P351</x:f>
        <x:v>1.1919365290056148</x:v>
      </x:c>
      <x:c r="S351" s="16" t="n">
        <x:f>COUNTIFS($R$8:$R$437,"&gt;"&amp;R351)+COUNTIFS($R$8:R351,R351)</x:f>
        <x:v>119</x:v>
      </x:c>
      <x:c r="T351" s="16" t="n">
        <x:f>IF(S351&lt;='Wyniki'!$B$6,1,0)</x:f>
        <x:v>0</x:v>
      </x:c>
    </x:row>
    <x:row r="352" ht="22" customHeight="1">
      <x:c r="A352" s="18" t="n">
        <x:v>345</x:v>
      </x:c>
      <x:c r="B352" s="17" t="n">
        <x:v>-0.25236227123211535</x:v>
      </x:c>
      <x:c r="C352" s="17" t="n">
        <x:v>-0.23362555028620022</x:v>
      </x:c>
      <x:c r="D352" s="18" t="n">
        <x:v>0</x:v>
      </x:c>
      <x:c r="E352" s="17" t="n">
        <x:v>0.18468247696064102</x:v>
      </x:c>
      <x:c r="F352" s="18" t="n">
        <x:v>10</x:v>
      </x:c>
      <x:c r="G352" s="17" t="n">
        <x:v>0.16446884666754816</x:v>
      </x:c>
      <x:c r="H352" s="11" t="n">
        <x:f>1/G352</x:f>
        <x:v>6.080178831808595</x:v>
      </x:c>
      <x:c r="I352" s="17" t="n">
        <x:v>6.6012595832383685</x:v>
      </x:c>
      <x:c r="J352" s="11" t="n">
        <x:f>I352/H352</x:f>
        <x:v>1.085701550208314</x:v>
      </x:c>
      <x:c r="K352" s="16" t="n">
        <x:f>COUNTIFS($J$8:$J$437,"&gt;"&amp;J352)+COUNTIFS($J$8:J352,J352)</x:f>
        <x:v>134</x:v>
      </x:c>
      <x:c r="L352" s="16" t="n">
        <x:f>IF(K352&lt;='Wyniki'!$B$6,1,0)</x:f>
        <x:v>0</x:v>
      </x:c>
      <x:c r="M352" s="17" t="n">
        <x:v>0.2933796438325008</x:v>
      </x:c>
      <x:c r="N352" s="18" t="n">
        <x:v>40</x:v>
      </x:c>
      <x:c r="O352" s="17" t="n">
        <x:v>0.3015789534633839</x:v>
      </x:c>
      <x:c r="P352" s="11" t="n">
        <x:f>1/O352</x:f>
        <x:v>3.3158812593379947</x:v>
      </x:c>
      <x:c r="Q352" s="17" t="n">
        <x:v>3.332405154415349</x:v>
      </x:c>
      <x:c r="R352" s="11" t="n">
        <x:f>Q352/P352</x:f>
        <x:v>1.0049832589845673</x:v>
      </x:c>
      <x:c r="S352" s="16" t="n">
        <x:f>COUNTIFS($R$8:$R$437,"&gt;"&amp;R352)+COUNTIFS($R$8:R352,R352)</x:f>
        <x:v>288</x:v>
      </x:c>
      <x:c r="T352" s="16" t="n">
        <x:f>IF(S352&lt;='Wyniki'!$B$6,1,0)</x:f>
        <x:v>0</x:v>
      </x:c>
    </x:row>
    <x:row r="353" ht="22" customHeight="1">
      <x:c r="A353" s="18" t="n">
        <x:v>346</x:v>
      </x:c>
      <x:c r="B353" s="17" t="n">
        <x:v>0.17274247312838958</x:v>
      </x:c>
      <x:c r="C353" s="17" t="n">
        <x:v>-0.1351688250070958</x:v>
      </x:c>
      <x:c r="D353" s="18" t="n">
        <x:v>0</x:v>
      </x:c>
      <x:c r="E353" s="17" t="n">
        <x:v>0.13295966625943034</x:v>
      </x:c>
      <x:c r="F353" s="18" t="n">
        <x:v>10</x:v>
      </x:c>
      <x:c r="G353" s="17" t="n">
        <x:v>0.1304156988264944</x:v>
      </x:c>
      <x:c r="H353" s="11" t="n">
        <x:f>1/G353</x:f>
        <x:v>7.667788533115206</x:v>
      </x:c>
      <x:c r="I353" s="17" t="n">
        <x:v>7.544236083036148</x:v>
      </x:c>
      <x:c r="J353" s="11" t="n">
        <x:f>I353/H353</x:f>
        <x:v>0.9838868208812142</x:v>
      </x:c>
      <x:c r="K353" s="16" t="n">
        <x:f>COUNTIFS($J$8:$J$437,"&gt;"&amp;J353)+COUNTIFS($J$8:J353,J353)</x:f>
        <x:v>368</x:v>
      </x:c>
      <x:c r="L353" s="16" t="n">
        <x:f>IF(K353&lt;='Wyniki'!$B$6,1,0)</x:f>
        <x:v>0</x:v>
      </x:c>
      <x:c r="M353" s="17" t="n">
        <x:v>0.27403730472925</x:v>
      </x:c>
      <x:c r="N353" s="18" t="n">
        <x:v>40</x:v>
      </x:c>
      <x:c r="O353" s="17" t="n">
        <x:v>0.2688061701886862</x:v>
      </x:c>
      <x:c r="P353" s="11" t="n">
        <x:f>1/O353</x:f>
        <x:v>3.7201527007287765</x:v>
      </x:c>
      <x:c r="Q353" s="17" t="n">
        <x:v>3.650391364170146</x:v>
      </x:c>
      <x:c r="R353" s="11" t="n">
        <x:f>Q353/P353</x:f>
        <x:v>0.9812477222924305</x:v>
      </x:c>
      <x:c r="S353" s="16" t="n">
        <x:f>COUNTIFS($R$8:$R$437,"&gt;"&amp;R353)+COUNTIFS($R$8:R353,R353)</x:f>
        <x:v>383</x:v>
      </x:c>
      <x:c r="T353" s="16" t="n">
        <x:f>IF(S353&lt;='Wyniki'!$B$6,1,0)</x:f>
        <x:v>0</x:v>
      </x:c>
    </x:row>
    <x:row r="354" ht="22" customHeight="1">
      <x:c r="A354" s="18" t="n">
        <x:v>347</x:v>
      </x:c>
      <x:c r="B354" s="17" t="n">
        <x:v>0.5236295092269395</x:v>
      </x:c>
      <x:c r="C354" s="17" t="n">
        <x:v>-1.2384775098404759</x:v>
      </x:c>
      <x:c r="D354" s="18" t="n">
        <x:v>0</x:v>
      </x:c>
      <x:c r="E354" s="17" t="n">
        <x:v>0.5811519705596886</x:v>
      </x:c>
      <x:c r="F354" s="18" t="n">
        <x:v>10</x:v>
      </x:c>
      <x:c r="G354" s="17" t="n">
        <x:v>0.5029604024989929</x:v>
      </x:c>
      <x:c r="H354" s="11" t="n">
        <x:f>1/G354</x:f>
        <x:v>1.988228089192374</x:v>
      </x:c>
      <x:c r="I354" s="17" t="n">
        <x:v>2.662596390426242</x:v>
      </x:c>
      <x:c r="J354" s="11" t="n">
        <x:f>I354/H354</x:f>
        <x:v>1.3391805522211484</x:v>
      </x:c>
      <x:c r="K354" s="16" t="n">
        <x:f>COUNTIFS($J$8:$J$437,"&gt;"&amp;J354)+COUNTIFS($J$8:J354,J354)</x:f>
        <x:v>37</x:v>
      </x:c>
      <x:c r="L354" s="16" t="n">
        <x:f>IF(K354&lt;='Wyniki'!$B$6,1,0)</x:f>
        <x:v>0</x:v>
      </x:c>
      <x:c r="M354" s="17" t="n">
        <x:v>0.8348869055072148</x:v>
      </x:c>
      <x:c r="N354" s="18" t="n">
        <x:v>40</x:v>
      </x:c>
      <x:c r="O354" s="17" t="n">
        <x:v>0.7233295818995613</x:v>
      </x:c>
      <x:c r="P354" s="11" t="n">
        <x:f>1/O354</x:f>
        <x:v>1.3824956493191731</x:v>
      </x:c>
      <x:c r="Q354" s="17" t="n">
        <x:v>2.271059753809218</x:v>
      </x:c>
      <x:c r="R354" s="11" t="n">
        <x:f>Q354/P354</x:f>
        <x:v>1.6427247021917422</x:v>
      </x:c>
      <x:c r="S354" s="16" t="n">
        <x:f>COUNTIFS($R$8:$R$437,"&gt;"&amp;R354)+COUNTIFS($R$8:R354,R354)</x:f>
        <x:v>41</x:v>
      </x:c>
      <x:c r="T354" s="16" t="n">
        <x:f>IF(S354&lt;='Wyniki'!$B$6,1,0)</x:f>
        <x:v>0</x:v>
      </x:c>
    </x:row>
    <x:row r="355" ht="22" customHeight="1">
      <x:c r="A355" s="18" t="n">
        <x:v>348</x:v>
      </x:c>
      <x:c r="B355" s="17" t="n">
        <x:v>-0.4546877758042921</x:v>
      </x:c>
      <x:c r="C355" s="17" t="n">
        <x:v>-0.43032898367879524</x:v>
      </x:c>
      <x:c r="D355" s="18" t="n">
        <x:v>0</x:v>
      </x:c>
      <x:c r="E355" s="17" t="n">
        <x:v>0.18484242231184767</x:v>
      </x:c>
      <x:c r="F355" s="18" t="n">
        <x:v>10</x:v>
      </x:c>
      <x:c r="G355" s="17" t="n">
        <x:v>0.17172290259573908</x:v>
      </x:c>
      <x:c r="H355" s="11" t="n">
        <x:f>1/G355</x:f>
        <x:v>5.823335064130303</x:v>
      </x:c>
      <x:c r="I355" s="17" t="n">
        <x:v>5.866873042009465</x:v>
      </x:c>
      <x:c r="J355" s="11" t="n">
        <x:f>I355/H355</x:f>
        <x:v>1.007476467934559</x:v>
      </x:c>
      <x:c r="K355" s="16" t="n">
        <x:f>COUNTIFS($J$8:$J$437,"&gt;"&amp;J355)+COUNTIFS($J$8:J355,J355)</x:f>
        <x:v>277</x:v>
      </x:c>
      <x:c r="L355" s="16" t="n">
        <x:f>IF(K355&lt;='Wyniki'!$B$6,1,0)</x:f>
        <x:v>0</x:v>
      </x:c>
      <x:c r="M355" s="17" t="n">
        <x:v>0.31842635120077495</x:v>
      </x:c>
      <x:c r="N355" s="18" t="n">
        <x:v>40</x:v>
      </x:c>
      <x:c r="O355" s="17" t="n">
        <x:v>0.35458993017693696</x:v>
      </x:c>
      <x:c r="P355" s="11" t="n">
        <x:f>1/O355</x:f>
        <x:v>2.820159048230754</x:v>
      </x:c>
      <x:c r="Q355" s="17" t="n">
        <x:v>2.8303119442490483</x:v>
      </x:c>
      <x:c r="R355" s="11" t="n">
        <x:f>Q355/P355</x:f>
        <x:v>1.0036001146902207</x:v>
      </x:c>
      <x:c r="S355" s="16" t="n">
        <x:f>COUNTIFS($R$8:$R$437,"&gt;"&amp;R355)+COUNTIFS($R$8:R355,R355)</x:f>
        <x:v>297</x:v>
      </x:c>
      <x:c r="T355" s="16" t="n">
        <x:f>IF(S355&lt;='Wyniki'!$B$6,1,0)</x:f>
        <x:v>0</x:v>
      </x:c>
    </x:row>
    <x:row r="356" ht="22" customHeight="1">
      <x:c r="A356" s="18" t="n">
        <x:v>349</x:v>
      </x:c>
      <x:c r="B356" s="17" t="n">
        <x:v>-1.2761958068123798</x:v>
      </x:c>
      <x:c r="C356" s="17" t="n">
        <x:v>-0.5300011444028423</x:v>
      </x:c>
      <x:c r="D356" s="18" t="n">
        <x:v>0</x:v>
      </x:c>
      <x:c r="E356" s="17" t="n">
        <x:v>0.42299209403722027</x:v>
      </x:c>
      <x:c r="F356" s="18" t="n">
        <x:v>10</x:v>
      </x:c>
      <x:c r="G356" s="17" t="n">
        <x:v>0.4215113475548827</x:v>
      </x:c>
      <x:c r="H356" s="11" t="n">
        <x:f>1/G356</x:f>
        <x:v>2.372415371023423</x:v>
      </x:c>
      <x:c r="I356" s="17" t="n">
        <x:v>2.8341586320257663</x:v>
      </x:c>
      <x:c r="J356" s="11" t="n">
        <x:f>I356/H356</x:f>
        <x:v>1.1946300241694838</x:v>
      </x:c>
      <x:c r="K356" s="16" t="n">
        <x:f>COUNTIFS($J$8:$J$437,"&gt;"&amp;J356)+COUNTIFS($J$8:J356,J356)</x:f>
        <x:v>67</x:v>
      </x:c>
      <x:c r="L356" s="16" t="n">
        <x:f>IF(K356&lt;='Wyniki'!$B$6,1,0)</x:f>
        <x:v>0</x:v>
      </x:c>
      <x:c r="M356" s="17" t="n">
        <x:v>0.73192289324232</x:v>
      </x:c>
      <x:c r="N356" s="18" t="n">
        <x:v>40</x:v>
      </x:c>
      <x:c r="O356" s="17" t="n">
        <x:v>0.6404496658982964</x:v>
      </x:c>
      <x:c r="P356" s="11" t="n">
        <x:f>1/O356</x:f>
        <x:v>1.5614029536535041</x:v>
      </x:c>
      <x:c r="Q356" s="17" t="n">
        <x:v>2.0885704421277524</x:v>
      </x:c>
      <x:c r="R356" s="11" t="n">
        <x:f>Q356/P356</x:f>
        <x:v>1.3376242418657764</x:v>
      </x:c>
      <x:c r="S356" s="16" t="n">
        <x:f>COUNTIFS($R$8:$R$437,"&gt;"&amp;R356)+COUNTIFS($R$8:R356,R356)</x:f>
        <x:v>74</x:v>
      </x:c>
      <x:c r="T356" s="16" t="n">
        <x:f>IF(S356&lt;='Wyniki'!$B$6,1,0)</x:f>
        <x:v>0</x:v>
      </x:c>
    </x:row>
    <x:row r="357" ht="22" customHeight="1">
      <x:c r="A357" s="18" t="n">
        <x:v>350</x:v>
      </x:c>
      <x:c r="B357" s="17" t="n">
        <x:v>-0.5033358637152594</x:v>
      </x:c>
      <x:c r="C357" s="17" t="n">
        <x:v>-0.1106075599853567</x:v>
      </x:c>
      <x:c r="D357" s="18" t="n">
        <x:v>0</x:v>
      </x:c>
      <x:c r="E357" s="17" t="n">
        <x:v>0.10164728638661433</x:v>
      </x:c>
      <x:c r="F357" s="18" t="n">
        <x:v>10</x:v>
      </x:c>
      <x:c r="G357" s="17" t="n">
        <x:v>0.13519323998446303</x:v>
      </x:c>
      <x:c r="H357" s="11" t="n">
        <x:f>1/G357</x:f>
        <x:v>7.396819545969341</x:v>
      </x:c>
      <x:c r="I357" s="17" t="n">
        <x:v>7.390644537933008</x:v>
      </x:c>
      <x:c r="J357" s="11" t="n">
        <x:f>I357/H357</x:f>
        <x:v>0.9991651806566382</x:v>
      </x:c>
      <x:c r="K357" s="16" t="n">
        <x:f>COUNTIFS($J$8:$J$437,"&gt;"&amp;J357)+COUNTIFS($J$8:J357,J357)</x:f>
        <x:v>314</x:v>
      </x:c>
      <x:c r="L357" s="16" t="n">
        <x:f>IF(K357&lt;='Wyniki'!$B$6,1,0)</x:f>
        <x:v>0</x:v>
      </x:c>
      <x:c r="M357" s="17" t="n">
        <x:v>0.3333716243033295</x:v>
      </x:c>
      <x:c r="N357" s="18" t="n">
        <x:v>40</x:v>
      </x:c>
      <x:c r="O357" s="17" t="n">
        <x:v>0.3277425849079475</x:v>
      </x:c>
      <x:c r="P357" s="11" t="n">
        <x:f>1/O357</x:f>
        <x:v>3.0511750564268856</x:v>
      </x:c>
      <x:c r="Q357" s="17" t="n">
        <x:v>3.0645945102471344</x:v>
      </x:c>
      <x:c r="R357" s="11" t="n">
        <x:f>Q357/P357</x:f>
        <x:v>1.0043981264831012</x:v>
      </x:c>
      <x:c r="S357" s="16" t="n">
        <x:f>COUNTIFS($R$8:$R$437,"&gt;"&amp;R357)+COUNTIFS($R$8:R357,R357)</x:f>
        <x:v>293</x:v>
      </x:c>
      <x:c r="T357" s="16" t="n">
        <x:f>IF(S357&lt;='Wyniki'!$B$6,1,0)</x:f>
        <x:v>0</x:v>
      </x:c>
    </x:row>
    <x:row r="358" ht="22" customHeight="1">
      <x:c r="A358" s="18" t="n">
        <x:v>351</x:v>
      </x:c>
      <x:c r="B358" s="17" t="n">
        <x:v>0.612131240413145</x:v>
      </x:c>
      <x:c r="C358" s="17" t="n">
        <x:v>-0.13478335815488632</x:v>
      </x:c>
      <x:c r="D358" s="18" t="n">
        <x:v>0</x:v>
      </x:c>
      <x:c r="E358" s="17" t="n">
        <x:v>0.1700335767254116</x:v>
      </x:c>
      <x:c r="F358" s="18" t="n">
        <x:v>10</x:v>
      </x:c>
      <x:c r="G358" s="17" t="n">
        <x:v>0.1796378833052885</x:v>
      </x:c>
      <x:c r="H358" s="11" t="n">
        <x:f>1/G358</x:f>
        <x:v>5.5667545263853615</x:v>
      </x:c>
      <x:c r="I358" s="17" t="n">
        <x:v>5.876579887645537</x:v>
      </x:c>
      <x:c r="J358" s="11" t="n">
        <x:f>I358/H358</x:f>
        <x:v>1.0556563720910743</x:v>
      </x:c>
      <x:c r="K358" s="16" t="n">
        <x:f>COUNTIFS($J$8:$J$437,"&gt;"&amp;J358)+COUNTIFS($J$8:J358,J358)</x:f>
        <x:v>167</x:v>
      </x:c>
      <x:c r="L358" s="16" t="n">
        <x:f>IF(K358&lt;='Wyniki'!$B$6,1,0)</x:f>
        <x:v>0</x:v>
      </x:c>
      <x:c r="M358" s="17" t="n">
        <x:v>0.34564192813204103</x:v>
      </x:c>
      <x:c r="N358" s="18" t="n">
        <x:v>40</x:v>
      </x:c>
      <x:c r="O358" s="17" t="n">
        <x:v>0.3527577908878758</x:v>
      </x:c>
      <x:c r="P358" s="11" t="n">
        <x:f>1/O358</x:f>
        <x:v>2.834806277369648</x:v>
      </x:c>
      <x:c r="Q358" s="17" t="n">
        <x:v>3.028034051702104</x:v>
      </x:c>
      <x:c r="R358" s="11" t="n">
        <x:f>Q358/P358</x:f>
        <x:v>1.0681626028116982</x:v>
      </x:c>
      <x:c r="S358" s="16" t="n">
        <x:f>COUNTIFS($R$8:$R$437,"&gt;"&amp;R358)+COUNTIFS($R$8:R358,R358)</x:f>
        <x:v>177</x:v>
      </x:c>
      <x:c r="T358" s="16" t="n">
        <x:f>IF(S358&lt;='Wyniki'!$B$6,1,0)</x:f>
        <x:v>0</x:v>
      </x:c>
    </x:row>
    <x:row r="359" ht="22" customHeight="1">
      <x:c r="A359" s="18" t="n">
        <x:v>352</x:v>
      </x:c>
      <x:c r="B359" s="17" t="n">
        <x:v>-0.5669475461491347</x:v>
      </x:c>
      <x:c r="C359" s="17" t="n">
        <x:v>-0.03132499766744094</x:v>
      </x:c>
      <x:c r="D359" s="18" t="n">
        <x:v>0</x:v>
      </x:c>
      <x:c r="E359" s="17" t="n">
        <x:v>0.1607383490292455</x:v>
      </x:c>
      <x:c r="F359" s="18" t="n">
        <x:v>10</x:v>
      </x:c>
      <x:c r="G359" s="17" t="n">
        <x:v>0.1458322960385841</x:v>
      </x:c>
      <x:c r="H359" s="11" t="n">
        <x:f>1/G359</x:f>
        <x:v>6.857191631512277</x:v>
      </x:c>
      <x:c r="I359" s="17" t="n">
        <x:v>6.878142792223177</x:v>
      </x:c>
      <x:c r="J359" s="11" t="n">
        <x:f>I359/H359</x:f>
        <x:v>1.003055355871144</x:v>
      </x:c>
      <x:c r="K359" s="16" t="n">
        <x:f>COUNTIFS($J$8:$J$437,"&gt;"&amp;J359)+COUNTIFS($J$8:J359,J359)</x:f>
        <x:v>297</x:v>
      </x:c>
      <x:c r="L359" s="16" t="n">
        <x:f>IF(K359&lt;='Wyniki'!$B$6,1,0)</x:f>
        <x:v>0</x:v>
      </x:c>
      <x:c r="M359" s="17" t="n">
        <x:v>0.33763452727273985</x:v>
      </x:c>
      <x:c r="N359" s="18" t="n">
        <x:v>40</x:v>
      </x:c>
      <x:c r="O359" s="17" t="n">
        <x:v>0.3430407560877883</x:v>
      </x:c>
      <x:c r="P359" s="11" t="n">
        <x:f>1/O359</x:f>
        <x:v>2.9151055151711707</x:v>
      </x:c>
      <x:c r="Q359" s="17" t="n">
        <x:v>2.9473936995748384</x:v>
      </x:c>
      <x:c r="R359" s="11" t="n">
        <x:f>Q359/P359</x:f>
        <x:v>1.011076163190536</x:v>
      </x:c>
      <x:c r="S359" s="16" t="n">
        <x:f>COUNTIFS($R$8:$R$437,"&gt;"&amp;R359)+COUNTIFS($R$8:R359,R359)</x:f>
        <x:v>262</x:v>
      </x:c>
      <x:c r="T359" s="16" t="n">
        <x:f>IF(S359&lt;='Wyniki'!$B$6,1,0)</x:f>
        <x:v>0</x:v>
      </x:c>
    </x:row>
    <x:row r="360" ht="22" customHeight="1">
      <x:c r="A360" s="18" t="n">
        <x:v>353</x:v>
      </x:c>
      <x:c r="B360" s="17" t="n">
        <x:v>0.5770454917927422</x:v>
      </x:c>
      <x:c r="C360" s="17" t="n">
        <x:v>-0.5367773488631977</x:v>
      </x:c>
      <x:c r="D360" s="18" t="n">
        <x:v>0</x:v>
      </x:c>
      <x:c r="E360" s="17" t="n">
        <x:v>0.25608315154575406</x:v>
      </x:c>
      <x:c r="F360" s="18" t="n">
        <x:v>10</x:v>
      </x:c>
      <x:c r="G360" s="17" t="n">
        <x:v>0.26385583350211295</x:v>
      </x:c>
      <x:c r="H360" s="11" t="n">
        <x:f>1/G360</x:f>
        <x:v>3.7899484226942137</x:v>
      </x:c>
      <x:c r="I360" s="17" t="n">
        <x:v>3.8989439529112646</x:v>
      </x:c>
      <x:c r="J360" s="11" t="n">
        <x:f>I360/H360</x:f>
        <x:v>1.0287591064734247</x:v>
      </x:c>
      <x:c r="K360" s="16" t="n">
        <x:f>COUNTIFS($J$8:$J$437,"&gt;"&amp;J360)+COUNTIFS($J$8:J360,J360)</x:f>
        <x:v>221</x:v>
      </x:c>
      <x:c r="L360" s="16" t="n">
        <x:f>IF(K360&lt;='Wyniki'!$B$6,1,0)</x:f>
        <x:v>0</x:v>
      </x:c>
      <x:c r="M360" s="17" t="n">
        <x:v>0.4594281827007865</x:v>
      </x:c>
      <x:c r="N360" s="18" t="n">
        <x:v>40</x:v>
      </x:c>
      <x:c r="O360" s="17" t="n">
        <x:v>0.43285921806288474</x:v>
      </x:c>
      <x:c r="P360" s="11" t="n">
        <x:f>1/O360</x:f>
        <x:v>2.3102199474350167</x:v>
      </x:c>
      <x:c r="Q360" s="17" t="n">
        <x:v>2.748470948706469</x:v>
      </x:c>
      <x:c r="R360" s="11" t="n">
        <x:f>Q360/P360</x:f>
        <x:v>1.1897009857256373</x:v>
      </x:c>
      <x:c r="S360" s="16" t="n">
        <x:f>COUNTIFS($R$8:$R$437,"&gt;"&amp;R360)+COUNTIFS($R$8:R360,R360)</x:f>
        <x:v>120</x:v>
      </x:c>
      <x:c r="T360" s="16" t="n">
        <x:f>IF(S360&lt;='Wyniki'!$B$6,1,0)</x:f>
        <x:v>0</x:v>
      </x:c>
    </x:row>
    <x:row r="361" ht="22" customHeight="1">
      <x:c r="A361" s="18" t="n">
        <x:v>354</x:v>
      </x:c>
      <x:c r="B361" s="17" t="n">
        <x:v>-0.5008161861567968</x:v>
      </x:c>
      <x:c r="C361" s="17" t="n">
        <x:v>0.30720192760082293</x:v>
      </x:c>
      <x:c r="D361" s="18" t="n">
        <x:v>0</x:v>
      </x:c>
      <x:c r="E361" s="17" t="n">
        <x:v>0.16175908289161386</x:v>
      </x:c>
      <x:c r="F361" s="18" t="n">
        <x:v>10</x:v>
      </x:c>
      <x:c r="G361" s="17" t="n">
        <x:v>0.15855032365253632</x:v>
      </x:c>
      <x:c r="H361" s="11" t="n">
        <x:f>1/G361</x:f>
        <x:v>6.307145750086919</x:v>
      </x:c>
      <x:c r="I361" s="17" t="n">
        <x:v>6.506416021458625</x:v>
      </x:c>
      <x:c r="J361" s="11" t="n">
        <x:f>I361/H361</x:f>
        <x:v>1.0315943660203126</x:v>
      </x:c>
      <x:c r="K361" s="16" t="n">
        <x:f>COUNTIFS($J$8:$J$437,"&gt;"&amp;J361)+COUNTIFS($J$8:J361,J361)</x:f>
        <x:v>213</x:v>
      </x:c>
      <x:c r="L361" s="16" t="n">
        <x:f>IF(K361&lt;='Wyniki'!$B$6,1,0)</x:f>
        <x:v>0</x:v>
      </x:c>
      <x:c r="M361" s="17" t="n">
        <x:v>0.3775026478074683</x:v>
      </x:c>
      <x:c r="N361" s="18" t="n">
        <x:v>40</x:v>
      </x:c>
      <x:c r="O361" s="17" t="n">
        <x:v>0.3531537691684567</x:v>
      </x:c>
      <x:c r="P361" s="11" t="n">
        <x:f>1/O361</x:f>
        <x:v>2.8316277137707493</x:v>
      </x:c>
      <x:c r="Q361" s="17" t="n">
        <x:v>2.991554341647827</x:v>
      </x:c>
      <x:c r="R361" s="11" t="n">
        <x:f>Q361/P361</x:f>
        <x:v>1.0564786914251914</x:v>
      </x:c>
      <x:c r="S361" s="16" t="n">
        <x:f>COUNTIFS($R$8:$R$437,"&gt;"&amp;R361)+COUNTIFS($R$8:R361,R361)</x:f>
        <x:v>190</x:v>
      </x:c>
      <x:c r="T361" s="16" t="n">
        <x:f>IF(S361&lt;='Wyniki'!$B$6,1,0)</x:f>
        <x:v>0</x:v>
      </x:c>
    </x:row>
    <x:row r="362" ht="22" customHeight="1">
      <x:c r="A362" s="18" t="n">
        <x:v>355</x:v>
      </x:c>
      <x:c r="B362" s="17" t="n">
        <x:v>-0.1218448636519403</x:v>
      </x:c>
      <x:c r="C362" s="17" t="n">
        <x:v>0.3561165798902109</x:v>
      </x:c>
      <x:c r="D362" s="18" t="n">
        <x:v>0</x:v>
      </x:c>
      <x:c r="E362" s="17" t="n">
        <x:v>0.17164833807663882</x:v>
      </x:c>
      <x:c r="F362" s="18" t="n">
        <x:v>10</x:v>
      </x:c>
      <x:c r="G362" s="17" t="n">
        <x:v>0.16372408351619794</x:v>
      </x:c>
      <x:c r="H362" s="11" t="n">
        <x:f>1/G362</x:f>
        <x:v>6.107836907824655</x:v>
      </x:c>
      <x:c r="I362" s="17" t="n">
        <x:v>7.400413852058252</x:v>
      </x:c>
      <x:c r="J362" s="11" t="n">
        <x:f>I362/H362</x:f>
        <x:v>1.2116259755688132</x:v>
      </x:c>
      <x:c r="K362" s="16" t="n">
        <x:f>COUNTIFS($J$8:$J$437,"&gt;"&amp;J362)+COUNTIFS($J$8:J362,J362)</x:f>
        <x:v>62</x:v>
      </x:c>
      <x:c r="L362" s="16" t="n">
        <x:f>IF(K362&lt;='Wyniki'!$B$6,1,0)</x:f>
        <x:v>0</x:v>
      </x:c>
      <x:c r="M362" s="17" t="n">
        <x:v>0.27272161004368256</x:v>
      </x:c>
      <x:c r="N362" s="18" t="n">
        <x:v>40</x:v>
      </x:c>
      <x:c r="O362" s="17" t="n">
        <x:v>0.2863603940343243</x:v>
      </x:c>
      <x:c r="P362" s="11" t="n">
        <x:f>1/O362</x:f>
        <x:v>3.492103031120065</x:v>
      </x:c>
      <x:c r="Q362" s="17" t="n">
        <x:v>3.493026810242788</x:v>
      </x:c>
      <x:c r="R362" s="11" t="n">
        <x:f>Q362/P362</x:f>
        <x:v>1.0002645337535836</x:v>
      </x:c>
      <x:c r="S362" s="16" t="n">
        <x:f>COUNTIFS($R$8:$R$437,"&gt;"&amp;R362)+COUNTIFS($R$8:R362,R362)</x:f>
        <x:v>315</x:v>
      </x:c>
      <x:c r="T362" s="16" t="n">
        <x:f>IF(S362&lt;='Wyniki'!$B$6,1,0)</x:f>
        <x:v>0</x:v>
      </x:c>
    </x:row>
    <x:row r="363" ht="22" customHeight="1">
      <x:c r="A363" s="18" t="n">
        <x:v>356</x:v>
      </x:c>
      <x:c r="B363" s="17" t="n">
        <x:v>-0.007505735487413219</x:v>
      </x:c>
      <x:c r="C363" s="17" t="n">
        <x:v>0.3859150064492619</x:v>
      </x:c>
      <x:c r="D363" s="18" t="n">
        <x:v>0</x:v>
      </x:c>
      <x:c r="E363" s="17" t="n">
        <x:v>0.165141686303937</x:v>
      </x:c>
      <x:c r="F363" s="18" t="n">
        <x:v>10</x:v>
      </x:c>
      <x:c r="G363" s="17" t="n">
        <x:v>0.16110809437466453</x:v>
      </x:c>
      <x:c r="H363" s="11" t="n">
        <x:f>1/G363</x:f>
        <x:v>6.207012775375845</x:v>
      </x:c>
      <x:c r="I363" s="17" t="n">
        <x:v>6.541995002945223</x:v>
      </x:c>
      <x:c r="J363" s="11" t="n">
        <x:f>I363/H363</x:f>
        <x:v>1.0539683483330826</x:v>
      </x:c>
      <x:c r="K363" s="16" t="n">
        <x:f>COUNTIFS($J$8:$J$437,"&gt;"&amp;J363)+COUNTIFS($J$8:J363,J363)</x:f>
        <x:v>172</x:v>
      </x:c>
      <x:c r="L363" s="16" t="n">
        <x:f>IF(K363&lt;='Wyniki'!$B$6,1,0)</x:f>
        <x:v>0</x:v>
      </x:c>
      <x:c r="M363" s="17" t="n">
        <x:v>0.2850363905056137</x:v>
      </x:c>
      <x:c r="N363" s="18" t="n">
        <x:v>40</x:v>
      </x:c>
      <x:c r="O363" s="17" t="n">
        <x:v>0.28420555653338336</x:v>
      </x:c>
      <x:c r="P363" s="11" t="n">
        <x:f>1/O363</x:f>
        <x:v>3.518580045364236</x:v>
      </x:c>
      <x:c r="Q363" s="17" t="n">
        <x:v>3.528220862153264</x:v>
      </x:c>
      <x:c r="R363" s="11" t="n">
        <x:f>Q363/P363</x:f>
        <x:v>1.0027399737009621</x:v>
      </x:c>
      <x:c r="S363" s="16" t="n">
        <x:f>COUNTIFS($R$8:$R$437,"&gt;"&amp;R363)+COUNTIFS($R$8:R363,R363)</x:f>
        <x:v>302</x:v>
      </x:c>
      <x:c r="T363" s="16" t="n">
        <x:f>IF(S363&lt;='Wyniki'!$B$6,1,0)</x:f>
        <x:v>0</x:v>
      </x:c>
    </x:row>
    <x:row r="364" ht="22" customHeight="1">
      <x:c r="A364" s="18" t="n">
        <x:v>357</x:v>
      </x:c>
      <x:c r="B364" s="17" t="n">
        <x:v>-0.5692929627223525</x:v>
      </x:c>
      <x:c r="C364" s="17" t="n">
        <x:v>-0.006646557933547092</x:v>
      </x:c>
      <x:c r="D364" s="18" t="n">
        <x:v>0</x:v>
      </x:c>
      <x:c r="E364" s="17" t="n">
        <x:v>0.16780379670819173</x:v>
      </x:c>
      <x:c r="F364" s="18" t="n">
        <x:v>10</x:v>
      </x:c>
      <x:c r="G364" s="17" t="n">
        <x:v>0.15207238186378993</x:v>
      </x:c>
      <x:c r="H364" s="11" t="n">
        <x:f>1/G364</x:f>
        <x:v>6.575815988045037</x:v>
      </x:c>
      <x:c r="I364" s="17" t="n">
        <x:v>6.674562175117257</x:v>
      </x:c>
      <x:c r="J364" s="11" t="n">
        <x:f>I364/H364</x:f>
        <x:v>1.0150165678680398</x:v>
      </x:c>
      <x:c r="K364" s="16" t="n">
        <x:f>COUNTIFS($J$8:$J$437,"&gt;"&amp;J364)+COUNTIFS($J$8:J364,J364)</x:f>
        <x:v>251</x:v>
      </x:c>
      <x:c r="L364" s="16" t="n">
        <x:f>IF(K364&lt;='Wyniki'!$B$6,1,0)</x:f>
        <x:v>0</x:v>
      </x:c>
      <x:c r="M364" s="17" t="n">
        <x:v>0.3278363872341382</x:v>
      </x:c>
      <x:c r="N364" s="18" t="n">
        <x:v>40</x:v>
      </x:c>
      <x:c r="O364" s="17" t="n">
        <x:v>0.34194129054819156</x:v>
      </x:c>
      <x:c r="P364" s="11" t="n">
        <x:f>1/O364</x:f>
        <x:v>2.924478638999185</x:v>
      </x:c>
      <x:c r="Q364" s="17" t="n">
        <x:v>2.9494487863057666</x:v>
      </x:c>
      <x:c r="R364" s="11" t="n">
        <x:f>Q364/P364</x:f>
        <x:v>1.008538324395191</x:v>
      </x:c>
      <x:c r="S364" s="16" t="n">
        <x:f>COUNTIFS($R$8:$R$437,"&gt;"&amp;R364)+COUNTIFS($R$8:R364,R364)</x:f>
        <x:v>275</x:v>
      </x:c>
      <x:c r="T364" s="16" t="n">
        <x:f>IF(S364&lt;='Wyniki'!$B$6,1,0)</x:f>
        <x:v>0</x:v>
      </x:c>
    </x:row>
    <x:row r="365" ht="22" customHeight="1">
      <x:c r="A365" s="18" t="n">
        <x:v>358</x:v>
      </x:c>
      <x:c r="B365" s="17" t="n">
        <x:v>-0.11587950789973626</x:v>
      </x:c>
      <x:c r="C365" s="17" t="n">
        <x:v>-0.668740008257272</x:v>
      </x:c>
      <x:c r="D365" s="18" t="n">
        <x:v>0</x:v>
      </x:c>
      <x:c r="E365" s="17" t="n">
        <x:v>0.15654208882902404</x:v>
      </x:c>
      <x:c r="F365" s="18" t="n">
        <x:v>10</x:v>
      </x:c>
      <x:c r="G365" s="17" t="n">
        <x:v>0.15906464076921267</x:v>
      </x:c>
      <x:c r="H365" s="11" t="n">
        <x:f>1/G365</x:f>
        <x:v>6.286752323861233</x:v>
      </x:c>
      <x:c r="I365" s="17" t="n">
        <x:v>6.178549069276572</x:v>
      </x:c>
      <x:c r="J365" s="11" t="n">
        <x:f>I365/H365</x:f>
        <x:v>0.9827886881794313</x:v>
      </x:c>
      <x:c r="K365" s="16" t="n">
        <x:f>COUNTIFS($J$8:$J$437,"&gt;"&amp;J365)+COUNTIFS($J$8:J365,J365)</x:f>
        <x:v>372</x:v>
      </x:c>
      <x:c r="L365" s="16" t="n">
        <x:f>IF(K365&lt;='Wyniki'!$B$6,1,0)</x:f>
        <x:v>0</x:v>
      </x:c>
      <x:c r="M365" s="17" t="n">
        <x:v>0.3211803304623309</x:v>
      </x:c>
      <x:c r="N365" s="18" t="n">
        <x:v>40</x:v>
      </x:c>
      <x:c r="O365" s="17" t="n">
        <x:v>0.35356426497921467</x:v>
      </x:c>
      <x:c r="P365" s="11" t="n">
        <x:f>1/O365</x:f>
        <x:v>2.828340132334324</x:v>
      </x:c>
      <x:c r="Q365" s="17" t="n">
        <x:v>2.8698356760256964</x:v>
      </x:c>
      <x:c r="R365" s="11" t="n">
        <x:f>Q365/P365</x:f>
        <x:v>1.0146713414051531</x:v>
      </x:c>
      <x:c r="S365" s="16" t="n">
        <x:f>COUNTIFS($R$8:$R$437,"&gt;"&amp;R365)+COUNTIFS($R$8:R365,R365)</x:f>
        <x:v>252</x:v>
      </x:c>
      <x:c r="T365" s="16" t="n">
        <x:f>IF(S365&lt;='Wyniki'!$B$6,1,0)</x:f>
        <x:v>0</x:v>
      </x:c>
    </x:row>
    <x:row r="366" ht="22" customHeight="1">
      <x:c r="A366" s="18" t="n">
        <x:v>359</x:v>
      </x:c>
      <x:c r="B366" s="17" t="n">
        <x:v>-0.8599128713277787</x:v>
      </x:c>
      <x:c r="C366" s="17" t="n">
        <x:v>0.377161969401064</x:v>
      </x:c>
      <x:c r="D366" s="18" t="n">
        <x:v>0</x:v>
      </x:c>
      <x:c r="E366" s="17" t="n">
        <x:v>0.3047763641789622</x:v>
      </x:c>
      <x:c r="F366" s="18" t="n">
        <x:v>10</x:v>
      </x:c>
      <x:c r="G366" s="17" t="n">
        <x:v>0.25817993109519904</x:v>
      </x:c>
      <x:c r="H366" s="11" t="n">
        <x:f>1/G366</x:f>
        <x:v>3.8732677468694057</x:v>
      </x:c>
      <x:c r="I366" s="17" t="n">
        <x:v>4.463493581901257</x:v>
      </x:c>
      <x:c r="J366" s="11" t="n">
        <x:f>I366/H366</x:f>
        <x:v>1.1523844654191295</x:v>
      </x:c>
      <x:c r="K366" s="16" t="n">
        <x:f>COUNTIFS($J$8:$J$437,"&gt;"&amp;J366)+COUNTIFS($J$8:J366,J366)</x:f>
        <x:v>82</x:v>
      </x:c>
      <x:c r="L366" s="16" t="n">
        <x:f>IF(K366&lt;='Wyniki'!$B$6,1,0)</x:f>
        <x:v>0</x:v>
      </x:c>
      <x:c r="M366" s="17" t="n">
        <x:v>0.5373439067488706</x:v>
      </x:c>
      <x:c r="N366" s="18" t="n">
        <x:v>40</x:v>
      </x:c>
      <x:c r="O366" s="17" t="n">
        <x:v>0.4762673970996552</x:v>
      </x:c>
      <x:c r="P366" s="11" t="n">
        <x:f>1/O366</x:f>
        <x:v>2.0996608335773987</x:v>
      </x:c>
      <x:c r="Q366" s="17" t="n">
        <x:v>2.6172871358616447</x:v>
      </x:c>
      <x:c r="R366" s="11" t="n">
        <x:f>Q366/P366</x:f>
        <x:v>1.2465285316592372</x:v>
      </x:c>
      <x:c r="S366" s="16" t="n">
        <x:f>COUNTIFS($R$8:$R$437,"&gt;"&amp;R366)+COUNTIFS($R$8:R366,R366)</x:f>
        <x:v>99</x:v>
      </x:c>
      <x:c r="T366" s="16" t="n">
        <x:f>IF(S366&lt;='Wyniki'!$B$6,1,0)</x:f>
        <x:v>0</x:v>
      </x:c>
    </x:row>
    <x:row r="367" ht="22" customHeight="1">
      <x:c r="A367" s="18" t="n">
        <x:v>360</x:v>
      </x:c>
      <x:c r="B367" s="17" t="n">
        <x:v>-0.19302381021988796</x:v>
      </x:c>
      <x:c r="C367" s="17" t="n">
        <x:v>-0.5622541549060313</x:v>
      </x:c>
      <x:c r="D367" s="18" t="n">
        <x:v>0</x:v>
      </x:c>
      <x:c r="E367" s="17" t="n">
        <x:v>0.1449852326389206</x:v>
      </x:c>
      <x:c r="F367" s="18" t="n">
        <x:v>10</x:v>
      </x:c>
      <x:c r="G367" s="17" t="n">
        <x:v>0.151700920777254</x:v>
      </x:c>
      <x:c r="H367" s="11" t="n">
        <x:f>1/G367</x:f>
        <x:v>6.591917800342975</x:v>
      </x:c>
      <x:c r="I367" s="17" t="n">
        <x:v>6.477182482375747</x:v>
      </x:c>
      <x:c r="J367" s="11" t="n">
        <x:f>I367/H367</x:f>
        <x:v>0.9825945466187006</x:v>
      </x:c>
      <x:c r="K367" s="16" t="n">
        <x:f>COUNTIFS($J$8:$J$437,"&gt;"&amp;J367)+COUNTIFS($J$8:J367,J367)</x:f>
        <x:v>373</x:v>
      </x:c>
      <x:c r="L367" s="16" t="n">
        <x:f>IF(K367&lt;='Wyniki'!$B$6,1,0)</x:f>
        <x:v>0</x:v>
      </x:c>
      <x:c r="M367" s="17" t="n">
        <x:v>0.30233697405848614</x:v>
      </x:c>
      <x:c r="N367" s="18" t="n">
        <x:v>40</x:v>
      </x:c>
      <x:c r="O367" s="17" t="n">
        <x:v>0.34232456146053625</x:v>
      </x:c>
      <x:c r="P367" s="11" t="n">
        <x:f>1/O367</x:f>
        <x:v>2.9212043556952945</x:v>
      </x:c>
      <x:c r="Q367" s="17" t="n">
        <x:v>2.919784324575933</x:v>
      </x:c>
      <x:c r="R367" s="11" t="n">
        <x:f>Q367/P367</x:f>
        <x:v>0.9995138884698044</x:v>
      </x:c>
      <x:c r="S367" s="16" t="n">
        <x:f>COUNTIFS($R$8:$R$437,"&gt;"&amp;R367)+COUNTIFS($R$8:R367,R367)</x:f>
        <x:v>318</x:v>
      </x:c>
      <x:c r="T367" s="16" t="n">
        <x:f>IF(S367&lt;='Wyniki'!$B$6,1,0)</x:f>
        <x:v>0</x:v>
      </x:c>
    </x:row>
    <x:row r="368" ht="22" customHeight="1">
      <x:c r="A368" s="18" t="n">
        <x:v>361</x:v>
      </x:c>
      <x:c r="B368" s="17" t="n">
        <x:v>-0.05289841530783274</x:v>
      </x:c>
      <x:c r="C368" s="17" t="n">
        <x:v>0.6204103715421165</x:v>
      </x:c>
      <x:c r="D368" s="18" t="n">
        <x:v>0</x:v>
      </x:c>
      <x:c r="E368" s="17" t="n">
        <x:v>0.1645948192597924</x:v>
      </x:c>
      <x:c r="F368" s="18" t="n">
        <x:v>10</x:v>
      </x:c>
      <x:c r="G368" s="17" t="n">
        <x:v>0.16594298232827678</x:v>
      </x:c>
      <x:c r="H368" s="11" t="n">
        <x:f>1/G368</x:f>
        <x:v>6.026166252826224</x:v>
      </x:c>
      <x:c r="I368" s="17" t="n">
        <x:v>5.895118964960547</x:v>
      </x:c>
      <x:c r="J368" s="11" t="n">
        <x:f>I368/H368</x:f>
        <x:v>0.9782536222255374</x:v>
      </x:c>
      <x:c r="K368" s="16" t="n">
        <x:f>COUNTIFS($J$8:$J$437,"&gt;"&amp;J368)+COUNTIFS($J$8:J368,J368)</x:f>
        <x:v>383</x:v>
      </x:c>
      <x:c r="L368" s="16" t="n">
        <x:f>IF(K368&lt;='Wyniki'!$B$6,1,0)</x:f>
        <x:v>0</x:v>
      </x:c>
      <x:c r="M368" s="17" t="n">
        <x:v>0.33026996581266954</x:v>
      </x:c>
      <x:c r="N368" s="18" t="n">
        <x:v>40</x:v>
      </x:c>
      <x:c r="O368" s="17" t="n">
        <x:v>0.3595579342805353</x:v>
      </x:c>
      <x:c r="P368" s="11" t="n">
        <x:f>1/O368</x:f>
        <x:v>2.7811929724231232</x:v>
      </x:c>
      <x:c r="Q368" s="17" t="n">
        <x:v>2.87254031273618</x:v>
      </x:c>
      <x:c r="R368" s="11" t="n">
        <x:f>Q368/P368</x:f>
        <x:v>1.0328446609849837</x:v>
      </x:c>
      <x:c r="S368" s="16" t="n">
        <x:f>COUNTIFS($R$8:$R$437,"&gt;"&amp;R368)+COUNTIFS($R$8:R368,R368)</x:f>
        <x:v>221</x:v>
      </x:c>
      <x:c r="T368" s="16" t="n">
        <x:f>IF(S368&lt;='Wyniki'!$B$6,1,0)</x:f>
        <x:v>0</x:v>
      </x:c>
    </x:row>
    <x:row r="369" ht="22" customHeight="1">
      <x:c r="A369" s="18" t="n">
        <x:v>362</x:v>
      </x:c>
      <x:c r="B369" s="17" t="n">
        <x:v>-1.2544058149545576</x:v>
      </x:c>
      <x:c r="C369" s="17" t="n">
        <x:v>-0.8231512794468295</x:v>
      </x:c>
      <x:c r="D369" s="18" t="n">
        <x:v>0</x:v>
      </x:c>
      <x:c r="E369" s="17" t="n">
        <x:v>0.49273523458764423</x:v>
      </x:c>
      <x:c r="F369" s="18" t="n">
        <x:v>10</x:v>
      </x:c>
      <x:c r="G369" s="17" t="n">
        <x:v>0.3905016101191109</x:v>
      </x:c>
      <x:c r="H369" s="11" t="n">
        <x:f>1/G369</x:f>
        <x:v>2.560808903438272</x:v>
      </x:c>
      <x:c r="I369" s="17" t="n">
        <x:v>2.846638053798415</x:v>
      </x:c>
      <x:c r="J369" s="11" t="n">
        <x:f>I369/H369</x:f>
        <x:v>1.1116167434346134</x:v>
      </x:c>
      <x:c r="K369" s="16" t="n">
        <x:f>COUNTIFS($J$8:$J$437,"&gt;"&amp;J369)+COUNTIFS($J$8:J369,J369)</x:f>
        <x:v>106</x:v>
      </x:c>
      <x:c r="L369" s="16" t="n">
        <x:f>IF(K369&lt;='Wyniki'!$B$6,1,0)</x:f>
        <x:v>0</x:v>
      </x:c>
      <x:c r="M369" s="17" t="n">
        <x:v>0.8531986352726905</x:v>
      </x:c>
      <x:c r="N369" s="18" t="n">
        <x:v>40</x:v>
      </x:c>
      <x:c r="O369" s="17" t="n">
        <x:v>0.7254903577120124</x:v>
      </x:c>
      <x:c r="P369" s="11" t="n">
        <x:f>1/O369</x:f>
        <x:v>1.3783780712864495</x:v>
      </x:c>
      <x:c r="Q369" s="17" t="n">
        <x:v>2.040185153164872</x:v>
      </x:c>
      <x:c r="R369" s="11" t="n">
        <x:f>Q369/P369</x:f>
        <x:v>1.4801346565683198</x:v>
      </x:c>
      <x:c r="S369" s="16" t="n">
        <x:f>COUNTIFS($R$8:$R$437,"&gt;"&amp;R369)+COUNTIFS($R$8:R369,R369)</x:f>
        <x:v>58</x:v>
      </x:c>
      <x:c r="T369" s="16" t="n">
        <x:f>IF(S369&lt;='Wyniki'!$B$6,1,0)</x:f>
        <x:v>0</x:v>
      </x:c>
    </x:row>
    <x:row r="370" ht="22" customHeight="1">
      <x:c r="A370" s="18" t="n">
        <x:v>363</x:v>
      </x:c>
      <x:c r="B370" s="17" t="n">
        <x:v>-0.5075875430423972</x:v>
      </x:c>
      <x:c r="C370" s="17" t="n">
        <x:v>0.8036483766961809</x:v>
      </x:c>
      <x:c r="D370" s="18" t="n">
        <x:v>0</x:v>
      </x:c>
      <x:c r="E370" s="17" t="n">
        <x:v>0.3271200538186683</x:v>
      </x:c>
      <x:c r="F370" s="18" t="n">
        <x:v>10</x:v>
      </x:c>
      <x:c r="G370" s="17" t="n">
        <x:v>0.3768345695966534</x:v>
      </x:c>
      <x:c r="H370" s="11" t="n">
        <x:f>1/G370</x:f>
        <x:v>2.653684350324745</x:v>
      </x:c>
      <x:c r="I370" s="17" t="n">
        <x:v>3.746578412415019</x:v>
      </x:c>
      <x:c r="J370" s="11" t="n">
        <x:f>I370/H370</x:f>
        <x:v>1.4118402635025267</x:v>
      </x:c>
      <x:c r="K370" s="16" t="n">
        <x:f>COUNTIFS($J$8:$J$437,"&gt;"&amp;J370)+COUNTIFS($J$8:J370,J370)</x:f>
        <x:v>27</x:v>
      </x:c>
      <x:c r="L370" s="16" t="n">
        <x:f>IF(K370&lt;='Wyniki'!$B$6,1,0)</x:f>
        <x:v>1</x:v>
      </x:c>
      <x:c r="M370" s="17" t="n">
        <x:v>0.5718481366396763</x:v>
      </x:c>
      <x:c r="N370" s="18" t="n">
        <x:v>40</x:v>
      </x:c>
      <x:c r="O370" s="17" t="n">
        <x:v>0.512938553737032</x:v>
      </x:c>
      <x:c r="P370" s="11" t="n">
        <x:f>1/O370</x:f>
        <x:v>1.949551252707492</x:v>
      </x:c>
      <x:c r="Q370" s="17" t="n">
        <x:v>2.5162431953534368</x:v>
      </x:c>
      <x:c r="R370" s="11" t="n">
        <x:f>Q370/P370</x:f>
        <x:v>1.29067814547524</x:v>
      </x:c>
      <x:c r="S370" s="16" t="n">
        <x:f>COUNTIFS($R$8:$R$437,"&gt;"&amp;R370)+COUNTIFS($R$8:R370,R370)</x:f>
        <x:v>85</x:v>
      </x:c>
      <x:c r="T370" s="16" t="n">
        <x:f>IF(S370&lt;='Wyniki'!$B$6,1,0)</x:f>
        <x:v>0</x:v>
      </x:c>
    </x:row>
    <x:row r="371" ht="22" customHeight="1">
      <x:c r="A371" s="18" t="n">
        <x:v>364</x:v>
      </x:c>
      <x:c r="B371" s="17" t="n">
        <x:v>0.1554228406056131</x:v>
      </x:c>
      <x:c r="C371" s="17" t="n">
        <x:v>0.4220244822536748</x:v>
      </x:c>
      <x:c r="D371" s="18" t="n">
        <x:v>0</x:v>
      </x:c>
      <x:c r="E371" s="17" t="n">
        <x:v>0.14510605353043812</x:v>
      </x:c>
      <x:c r="F371" s="18" t="n">
        <x:v>10</x:v>
      </x:c>
      <x:c r="G371" s="17" t="n">
        <x:v>0.1534322146029527</x:v>
      </x:c>
      <x:c r="H371" s="11" t="n">
        <x:f>1/G371</x:f>
        <x:v>6.517536115787484</x:v>
      </x:c>
      <x:c r="I371" s="17" t="n">
        <x:v>6.557046563147642</x:v>
      </x:c>
      <x:c r="J371" s="11" t="n">
        <x:f>I371/H371</x:f>
        <x:v>1.0060621754384225</x:v>
      </x:c>
      <x:c r="K371" s="16" t="n">
        <x:f>COUNTIFS($J$8:$J$437,"&gt;"&amp;J371)+COUNTIFS($J$8:J371,J371)</x:f>
        <x:v>282</x:v>
      </x:c>
      <x:c r="L371" s="16" t="n">
        <x:f>IF(K371&lt;='Wyniki'!$B$6,1,0)</x:f>
        <x:v>0</x:v>
      </x:c>
      <x:c r="M371" s="17" t="n">
        <x:v>0.3073638870247503</x:v>
      </x:c>
      <x:c r="N371" s="18" t="n">
        <x:v>40</x:v>
      </x:c>
      <x:c r="O371" s="17" t="n">
        <x:v>0.29117666050027013</x:v>
      </x:c>
      <x:c r="P371" s="11" t="n">
        <x:f>1/O371</x:f>
        <x:v>3.4343411943866027</x:v>
      </x:c>
      <x:c r="Q371" s="17" t="n">
        <x:v>3.4384613495218757</x:v>
      </x:c>
      <x:c r="R371" s="11" t="n">
        <x:f>Q371/P371</x:f>
        <x:v>1.0011996930130318</x:v>
      </x:c>
      <x:c r="S371" s="16" t="n">
        <x:f>COUNTIFS($R$8:$R$437,"&gt;"&amp;R371)+COUNTIFS($R$8:R371,R371)</x:f>
        <x:v>308</x:v>
      </x:c>
      <x:c r="T371" s="16" t="n">
        <x:f>IF(S371&lt;='Wyniki'!$B$6,1,0)</x:f>
        <x:v>0</x:v>
      </x:c>
    </x:row>
    <x:row r="372" ht="22" customHeight="1">
      <x:c r="A372" s="18" t="n">
        <x:v>365</x:v>
      </x:c>
      <x:c r="B372" s="17" t="n">
        <x:v>-0.6270885055194269</x:v>
      </x:c>
      <x:c r="C372" s="17" t="n">
        <x:v>-0.6157447313987895</x:v>
      </x:c>
      <x:c r="D372" s="18" t="n">
        <x:v>0</x:v>
      </x:c>
      <x:c r="E372" s="17" t="n">
        <x:v>0.2074440511287873</x:v>
      </x:c>
      <x:c r="F372" s="18" t="n">
        <x:v>10</x:v>
      </x:c>
      <x:c r="G372" s="17" t="n">
        <x:v>0.20783782235512946</x:v>
      </x:c>
      <x:c r="H372" s="11" t="n">
        <x:f>1/G372</x:f>
        <x:v>4.8114437914544474</x:v>
      </x:c>
      <x:c r="I372" s="17" t="n">
        <x:v>5.113658225217972</x:v>
      </x:c>
      <x:c r="J372" s="11" t="n">
        <x:f>I372/H372</x:f>
        <x:v>1.0628115897976995</x:v>
      </x:c>
      <x:c r="K372" s="16" t="n">
        <x:f>COUNTIFS($J$8:$J$437,"&gt;"&amp;J372)+COUNTIFS($J$8:J372,J372)</x:f>
        <x:v>158</x:v>
      </x:c>
      <x:c r="L372" s="16" t="n">
        <x:f>IF(K372&lt;='Wyniki'!$B$6,1,0)</x:f>
        <x:v>0</x:v>
      </x:c>
      <x:c r="M372" s="17" t="n">
        <x:v>0.43625543043252557</x:v>
      </x:c>
      <x:c r="N372" s="18" t="n">
        <x:v>40</x:v>
      </x:c>
      <x:c r="O372" s="17" t="n">
        <x:v>0.4117139578701803</x:v>
      </x:c>
      <x:c r="P372" s="11" t="n">
        <x:f>1/O372</x:f>
        <x:v>2.4288707751688987</x:v>
      </x:c>
      <x:c r="Q372" s="17" t="n">
        <x:v>2.5511064083275374</x:v>
      </x:c>
      <x:c r="R372" s="11" t="n">
        <x:f>Q372/P372</x:f>
        <x:v>1.0503261163205106</x:v>
      </x:c>
      <x:c r="S372" s="16" t="n">
        <x:f>COUNTIFS($R$8:$R$437,"&gt;"&amp;R372)+COUNTIFS($R$8:R372,R372)</x:f>
        <x:v>198</x:v>
      </x:c>
      <x:c r="T372" s="16" t="n">
        <x:f>IF(S372&lt;='Wyniki'!$B$6,1,0)</x:f>
        <x:v>0</x:v>
      </x:c>
    </x:row>
    <x:row r="373" ht="22" customHeight="1">
      <x:c r="A373" s="18" t="n">
        <x:v>366</x:v>
      </x:c>
      <x:c r="B373" s="17" t="n">
        <x:v>0.24629754419749075</x:v>
      </x:c>
      <x:c r="C373" s="17" t="n">
        <x:v>0.03205088201449561</x:v>
      </x:c>
      <x:c r="D373" s="18" t="n">
        <x:v>0</x:v>
      </x:c>
      <x:c r="E373" s="17" t="n">
        <x:v>0.146533285760444</x:v>
      </x:c>
      <x:c r="F373" s="18" t="n">
        <x:v>10</x:v>
      </x:c>
      <x:c r="G373" s="17" t="n">
        <x:v>0.1393903765474187</x:v>
      </x:c>
      <x:c r="H373" s="11" t="n">
        <x:f>1/G373</x:f>
        <x:v>7.174096410162244</x:v>
      </x:c>
      <x:c r="I373" s="17" t="n">
        <x:v>7.643617193490988</x:v>
      </x:c>
      <x:c r="J373" s="11" t="n">
        <x:f>I373/H373</x:f>
        <x:v>1.0654466787850325</x:v>
      </x:c>
      <x:c r="K373" s="16" t="n">
        <x:f>COUNTIFS($J$8:$J$437,"&gt;"&amp;J373)+COUNTIFS($J$8:J373,J373)</x:f>
        <x:v>154</x:v>
      </x:c>
      <x:c r="L373" s="16" t="n">
        <x:f>IF(K373&lt;='Wyniki'!$B$6,1,0)</x:f>
        <x:v>0</x:v>
      </x:c>
      <x:c r="M373" s="17" t="n">
        <x:v>0.2525057887294323</x:v>
      </x:c>
      <x:c r="N373" s="18" t="n">
        <x:v>40</x:v>
      </x:c>
      <x:c r="O373" s="17" t="n">
        <x:v>0.2636723445803166</x:v>
      </x:c>
      <x:c r="P373" s="11" t="n">
        <x:f>1/O373</x:f>
        <x:v>3.792585838274717</x:v>
      </x:c>
      <x:c r="Q373" s="17" t="n">
        <x:v>3.710756467899901</x:v>
      </x:c>
      <x:c r="R373" s="11" t="n">
        <x:f>Q373/P373</x:f>
        <x:v>0.9784238580577411</x:v>
      </x:c>
      <x:c r="S373" s="16" t="n">
        <x:f>COUNTIFS($R$8:$R$437,"&gt;"&amp;R373)+COUNTIFS($R$8:R373,R373)</x:f>
        <x:v>396</x:v>
      </x:c>
      <x:c r="T373" s="16" t="n">
        <x:f>IF(S373&lt;='Wyniki'!$B$6,1,0)</x:f>
        <x:v>0</x:v>
      </x:c>
    </x:row>
    <x:row r="374" ht="22" customHeight="1">
      <x:c r="A374" s="18" t="n">
        <x:v>367</x:v>
      </x:c>
      <x:c r="B374" s="17" t="n">
        <x:v>0.30180635037526965</x:v>
      </x:c>
      <x:c r="C374" s="17" t="n">
        <x:v>-0.10321904501064869</x:v>
      </x:c>
      <x:c r="D374" s="18" t="n">
        <x:v>0</x:v>
      </x:c>
      <x:c r="E374" s="17" t="n">
        <x:v>0.13295966625943034</x:v>
      </x:c>
      <x:c r="F374" s="18" t="n">
        <x:v>10</x:v>
      </x:c>
      <x:c r="G374" s="17" t="n">
        <x:v>0.1290984584434574</x:v>
      </x:c>
      <x:c r="H374" s="11" t="n">
        <x:f>1/G374</x:f>
        <x:v>7.746025878674456</x:v>
      </x:c>
      <x:c r="I374" s="17" t="n">
        <x:v>7.530475127971316</x:v>
      </x:c>
      <x:c r="J374" s="11" t="n">
        <x:f>I374/H374</x:f>
        <x:v>0.9721727303678946</x:v>
      </x:c>
      <x:c r="K374" s="16" t="n">
        <x:f>COUNTIFS($J$8:$J$437,"&gt;"&amp;J374)+COUNTIFS($J$8:J374,J374)</x:f>
        <x:v>397</x:v>
      </x:c>
      <x:c r="L374" s="16" t="n">
        <x:f>IF(K374&lt;='Wyniki'!$B$6,1,0)</x:f>
        <x:v>0</x:v>
      </x:c>
      <x:c r="M374" s="17" t="n">
        <x:v>0.2831313681028196</x:v>
      </x:c>
      <x:c r="N374" s="18" t="n">
        <x:v>40</x:v>
      </x:c>
      <x:c r="O374" s="17" t="n">
        <x:v>0.27752499675909703</x:v>
      </x:c>
      <x:c r="P374" s="11" t="n">
        <x:f>1/O374</x:f>
        <x:v>3.6032790259539778</x:v>
      </x:c>
      <x:c r="Q374" s="17" t="n">
        <x:v>3.5641866865744882</x:v>
      </x:c>
      <x:c r="R374" s="11" t="n">
        <x:f>Q374/P374</x:f>
        <x:v>0.9891508986404016</x:v>
      </x:c>
      <x:c r="S374" s="16" t="n">
        <x:f>COUNTIFS($R$8:$R$437,"&gt;"&amp;R374)+COUNTIFS($R$8:R374,R374)</x:f>
        <x:v>351</x:v>
      </x:c>
      <x:c r="T374" s="16" t="n">
        <x:f>IF(S374&lt;='Wyniki'!$B$6,1,0)</x:f>
        <x:v>0</x:v>
      </x:c>
    </x:row>
    <x:row r="375" ht="22" customHeight="1">
      <x:c r="A375" s="18" t="n">
        <x:v>368</x:v>
      </x:c>
      <x:c r="B375" s="17" t="n">
        <x:v>0.15297904955004485</x:v>
      </x:c>
      <x:c r="C375" s="17" t="n">
        <x:v>0.08696549669781005</x:v>
      </x:c>
      <x:c r="D375" s="18" t="n">
        <x:v>0</x:v>
      </x:c>
      <x:c r="E375" s="17" t="n">
        <x:v>0.12608590963156888</x:v>
      </x:c>
      <x:c r="F375" s="18" t="n">
        <x:v>10</x:v>
      </x:c>
      <x:c r="G375" s="17" t="n">
        <x:v>0.1322188286286841</x:v>
      </x:c>
      <x:c r="H375" s="11" t="n">
        <x:f>1/G375</x:f>
        <x:v>7.563219326411851</x:v>
      </x:c>
      <x:c r="I375" s="17" t="n">
        <x:v>7.826627002142248</x:v>
      </x:c>
      <x:c r="J375" s="11" t="n">
        <x:f>I375/H375</x:f>
        <x:v>1.0348274543368774</x:v>
      </x:c>
      <x:c r="K375" s="16" t="n">
        <x:f>COUNTIFS($J$8:$J$437,"&gt;"&amp;J375)+COUNTIFS($J$8:J375,J375)</x:f>
        <x:v>205</x:v>
      </x:c>
      <x:c r="L375" s="16" t="n">
        <x:f>IF(K375&lt;='Wyniki'!$B$6,1,0)</x:f>
        <x:v>0</x:v>
      </x:c>
      <x:c r="M375" s="17" t="n">
        <x:v>0.25411437015872196</x:v>
      </x:c>
      <x:c r="N375" s="18" t="n">
        <x:v>40</x:v>
      </x:c>
      <x:c r="O375" s="17" t="n">
        <x:v>0.2557024230060746</x:v>
      </x:c>
      <x:c r="P375" s="11" t="n">
        <x:f>1/O375</x:f>
        <x:v>3.910795948837151</x:v>
      </x:c>
      <x:c r="Q375" s="17" t="n">
        <x:v>3.7985029124046648</x:v>
      </x:c>
      <x:c r="R375" s="11" t="n">
        <x:f>Q375/P375</x:f>
        <x:v>0.9712863984975039</x:v>
      </x:c>
      <x:c r="S375" s="16" t="n">
        <x:f>COUNTIFS($R$8:$R$437,"&gt;"&amp;R375)+COUNTIFS($R$8:R375,R375)</x:f>
        <x:v>421</x:v>
      </x:c>
      <x:c r="T375" s="16" t="n">
        <x:f>IF(S375&lt;='Wyniki'!$B$6,1,0)</x:f>
        <x:v>0</x:v>
      </x:c>
    </x:row>
    <x:row r="376" ht="22" customHeight="1">
      <x:c r="A376" s="18" t="n">
        <x:v>369</x:v>
      </x:c>
      <x:c r="B376" s="17" t="n">
        <x:v>0.427772063996709</x:v>
      </x:c>
      <x:c r="C376" s="17" t="n">
        <x:v>0.44385455506945887</x:v>
      </x:c>
      <x:c r="D376" s="18" t="n">
        <x:v>0</x:v>
      </x:c>
      <x:c r="E376" s="17" t="n">
        <x:v>0.1833306541939729</x:v>
      </x:c>
      <x:c r="F376" s="18" t="n">
        <x:v>10</x:v>
      </x:c>
      <x:c r="G376" s="17" t="n">
        <x:v>0.1546491430705533</x:v>
      </x:c>
      <x:c r="H376" s="11" t="n">
        <x:f>1/G376</x:f>
        <x:v>6.466249861751803</x:v>
      </x:c>
      <x:c r="I376" s="17" t="n">
        <x:v>6.614619479299565</x:v>
      </x:c>
      <x:c r="J376" s="11" t="n">
        <x:f>I376/H376</x:f>
        <x:v>1.022945234211467</x:v>
      </x:c>
      <x:c r="K376" s="16" t="n">
        <x:f>COUNTIFS($J$8:$J$437,"&gt;"&amp;J376)+COUNTIFS($J$8:J376,J376)</x:f>
        <x:v>236</x:v>
      </x:c>
      <x:c r="L376" s="16" t="n">
        <x:f>IF(K376&lt;='Wyniki'!$B$6,1,0)</x:f>
        <x:v>0</x:v>
      </x:c>
      <x:c r="M376" s="17" t="n">
        <x:v>0.3129328096304199</x:v>
      </x:c>
      <x:c r="N376" s="18" t="n">
        <x:v>40</x:v>
      </x:c>
      <x:c r="O376" s="17" t="n">
        <x:v>0.30139596510658617</x:v>
      </x:c>
      <x:c r="P376" s="11" t="n">
        <x:f>1/O376</x:f>
        <x:v>3.3178944503996872</x:v>
      </x:c>
      <x:c r="Q376" s="17" t="n">
        <x:v>3.3516302117541725</x:v>
      </x:c>
      <x:c r="R376" s="11" t="n">
        <x:f>Q376/P376</x:f>
        <x:v>1.0101678223520405</x:v>
      </x:c>
      <x:c r="S376" s="16" t="n">
        <x:f>COUNTIFS($R$8:$R$437,"&gt;"&amp;R376)+COUNTIFS($R$8:R376,R376)</x:f>
        <x:v>267</x:v>
      </x:c>
      <x:c r="T376" s="16" t="n">
        <x:f>IF(S376&lt;='Wyniki'!$B$6,1,0)</x:f>
        <x:v>0</x:v>
      </x:c>
    </x:row>
    <x:row r="377" ht="22" customHeight="1">
      <x:c r="A377" s="18" t="n">
        <x:v>370</x:v>
      </x:c>
      <x:c r="B377" s="17" t="n">
        <x:v>-0.8909295969154735</x:v>
      </x:c>
      <x:c r="C377" s="17" t="n">
        <x:v>-1.2359977054374707</x:v>
      </x:c>
      <x:c r="D377" s="18" t="n">
        <x:v>0</x:v>
      </x:c>
      <x:c r="E377" s="17" t="n">
        <x:v>0.5507865894911991</x:v>
      </x:c>
      <x:c r="F377" s="18" t="n">
        <x:v>10</x:v>
      </x:c>
      <x:c r="G377" s="17" t="n">
        <x:v>0.506706104773816</x:v>
      </x:c>
      <x:c r="H377" s="11" t="n">
        <x:f>1/G377</x:f>
        <x:v>1.9735305941229604</x:v>
      </x:c>
      <x:c r="I377" s="17" t="n">
        <x:v>2.5572786681144177</x:v>
      </x:c>
      <x:c r="J377" s="11" t="n">
        <x:f>I377/H377</x:f>
        <x:v>1.2957887127414287</x:v>
      </x:c>
      <x:c r="K377" s="16" t="n">
        <x:f>COUNTIFS($J$8:$J$437,"&gt;"&amp;J377)+COUNTIFS($J$8:J377,J377)</x:f>
        <x:v>44</x:v>
      </x:c>
      <x:c r="L377" s="16" t="n">
        <x:f>IF(K377&lt;='Wyniki'!$B$6,1,0)</x:f>
        <x:v>0</x:v>
      </x:c>
      <x:c r="M377" s="17" t="n">
        <x:v>0.8502508547170519</x:v>
      </x:c>
      <x:c r="N377" s="18" t="n">
        <x:v>40</x:v>
      </x:c>
      <x:c r="O377" s="17" t="n">
        <x:v>0.7482218993516205</x:v>
      </x:c>
      <x:c r="P377" s="11" t="n">
        <x:f>1/O377</x:f>
        <x:v>1.33650191322462</x:v>
      </x:c>
      <x:c r="Q377" s="17" t="n">
        <x:v>2.1392058488448846</x:v>
      </x:c>
      <x:c r="R377" s="11" t="n">
        <x:f>Q377/P377</x:f>
        <x:v>1.6006006633268153</x:v>
      </x:c>
      <x:c r="S377" s="16" t="n">
        <x:f>COUNTIFS($R$8:$R$437,"&gt;"&amp;R377)+COUNTIFS($R$8:R377,R377)</x:f>
        <x:v>46</x:v>
      </x:c>
      <x:c r="T377" s="16" t="n">
        <x:f>IF(S377&lt;='Wyniki'!$B$6,1,0)</x:f>
        <x:v>0</x:v>
      </x:c>
    </x:row>
    <x:row r="378" ht="22" customHeight="1">
      <x:c r="A378" s="18" t="n">
        <x:v>371</x:v>
      </x:c>
      <x:c r="B378" s="17" t="n">
        <x:v>0.550959968708329</x:v>
      </x:c>
      <x:c r="C378" s="17" t="n">
        <x:v>0.6532488012940652</x:v>
      </x:c>
      <x:c r="D378" s="18" t="n">
        <x:v>0</x:v>
      </x:c>
      <x:c r="E378" s="17" t="n">
        <x:v>0.24930799482909047</x:v>
      </x:c>
      <x:c r="F378" s="18" t="n">
        <x:v>10</x:v>
      </x:c>
      <x:c r="G378" s="17" t="n">
        <x:v>0.25066643557993806</x:v>
      </x:c>
      <x:c r="H378" s="11" t="n">
        <x:f>1/G378</x:f>
        <x:v>3.989365379877905</x:v>
      </x:c>
      <x:c r="I378" s="17" t="n">
        <x:v>4.887942441712161</x:v>
      </x:c>
      <x:c r="J378" s="11" t="n">
        <x:f>I378/H378</x:f>
        <x:v>1.2252431091838865</x:v>
      </x:c>
      <x:c r="K378" s="16" t="n">
        <x:f>COUNTIFS($J$8:$J$437,"&gt;"&amp;J378)+COUNTIFS($J$8:J378,J378)</x:f>
        <x:v>59</x:v>
      </x:c>
      <x:c r="L378" s="16" t="n">
        <x:f>IF(K378&lt;='Wyniki'!$B$6,1,0)</x:f>
        <x:v>0</x:v>
      </x:c>
      <x:c r="M378" s="17" t="n">
        <x:v>0.4432093918251264</x:v>
      </x:c>
      <x:c r="N378" s="18" t="n">
        <x:v>40</x:v>
      </x:c>
      <x:c r="O378" s="17" t="n">
        <x:v>0.4140871463261805</x:v>
      </x:c>
      <x:c r="P378" s="11" t="n">
        <x:f>1/O378</x:f>
        <x:v>2.414950594028558</x:v>
      </x:c>
      <x:c r="Q378" s="17" t="n">
        <x:v>2.7950345406444073</x:v>
      </x:c>
      <x:c r="R378" s="11" t="n">
        <x:f>Q378/P378</x:f>
        <x:v>1.1573878768185493</x:v>
      </x:c>
      <x:c r="S378" s="16" t="n">
        <x:f>COUNTIFS($R$8:$R$437,"&gt;"&amp;R378)+COUNTIFS($R$8:R378,R378)</x:f>
        <x:v>129</x:v>
      </x:c>
      <x:c r="T378" s="16" t="n">
        <x:f>IF(S378&lt;='Wyniki'!$B$6,1,0)</x:f>
        <x:v>0</x:v>
      </x:c>
    </x:row>
    <x:row r="379" ht="22" customHeight="1">
      <x:c r="A379" s="18" t="n">
        <x:v>372</x:v>
      </x:c>
      <x:c r="B379" s="17" t="n">
        <x:v>-0.5613426607323356</x:v>
      </x:c>
      <x:c r="C379" s="17" t="n">
        <x:v>-1.0229094736000959</x:v>
      </x:c>
      <x:c r="D379" s="18" t="n">
        <x:v>0</x:v>
      </x:c>
      <x:c r="E379" s="17" t="n">
        <x:v>0.3658131972747623</x:v>
      </x:c>
      <x:c r="F379" s="18" t="n">
        <x:v>10</x:v>
      </x:c>
      <x:c r="G379" s="17" t="n">
        <x:v>0.3975658308180887</x:v>
      </x:c>
      <x:c r="H379" s="11" t="n">
        <x:f>1/G379</x:f>
        <x:v>2.5153067051619</x:v>
      </x:c>
      <x:c r="I379" s="17" t="n">
        <x:v>4.284909438118889</x:v>
      </x:c>
      <x:c r="J379" s="11" t="n">
        <x:f>I379/H379</x:f>
        <x:v>1.7035335807460057</x:v>
      </x:c>
      <x:c r="K379" s="16" t="n">
        <x:f>COUNTIFS($J$8:$J$437,"&gt;"&amp;J379)+COUNTIFS($J$8:J379,J379)</x:f>
        <x:v>12</x:v>
      </x:c>
      <x:c r="L379" s="16" t="n">
        <x:f>IF(K379&lt;='Wyniki'!$B$6,1,0)</x:f>
        <x:v>1</x:v>
      </x:c>
      <x:c r="M379" s="17" t="n">
        <x:v>0.5894956837587075</x:v>
      </x:c>
      <x:c r="N379" s="18" t="n">
        <x:v>40</x:v>
      </x:c>
      <x:c r="O379" s="17" t="n">
        <x:v>0.5494640156855032</x:v>
      </x:c>
      <x:c r="P379" s="11" t="n">
        <x:f>1/O379</x:f>
        <x:v>1.81995539553653</x:v>
      </x:c>
      <x:c r="Q379" s="17" t="n">
        <x:v>2.3117337218581233</x:v>
      </x:c>
      <x:c r="R379" s="11" t="n">
        <x:f>Q379/P379</x:f>
        <x:v>1.2702144940077584</x:v>
      </x:c>
      <x:c r="S379" s="16" t="n">
        <x:f>COUNTIFS($R$8:$R$437,"&gt;"&amp;R379)+COUNTIFS($R$8:R379,R379)</x:f>
        <x:v>90</x:v>
      </x:c>
      <x:c r="T379" s="16" t="n">
        <x:f>IF(S379&lt;='Wyniki'!$B$6,1,0)</x:f>
        <x:v>0</x:v>
      </x:c>
    </x:row>
    <x:row r="380" ht="22" customHeight="1">
      <x:c r="A380" s="18" t="n">
        <x:v>373</x:v>
      </x:c>
      <x:c r="B380" s="17" t="n">
        <x:v>0.05446915155396051</x:v>
      </x:c>
      <x:c r="C380" s="17" t="n">
        <x:v>0.5119610244927912</x:v>
      </x:c>
      <x:c r="D380" s="18" t="n">
        <x:v>0</x:v>
      </x:c>
      <x:c r="E380" s="17" t="n">
        <x:v>0.15520626233703655</x:v>
      </x:c>
      <x:c r="F380" s="18" t="n">
        <x:v>10</x:v>
      </x:c>
      <x:c r="G380" s="17" t="n">
        <x:v>0.1608299598122136</x:v>
      </x:c>
      <x:c r="H380" s="11" t="n">
        <x:f>1/G380</x:f>
        <x:v>6.217746999176076</x:v>
      </x:c>
      <x:c r="I380" s="17" t="n">
        <x:v>6.2775704964498384</x:v>
      </x:c>
      <x:c r="J380" s="11" t="n">
        <x:f>I380/H380</x:f>
        <x:v>1.0096214106623653</x:v>
      </x:c>
      <x:c r="K380" s="16" t="n">
        <x:f>COUNTIFS($J$8:$J$437,"&gt;"&amp;J380)+COUNTIFS($J$8:J380,J380)</x:f>
        <x:v>270</x:v>
      </x:c>
      <x:c r="L380" s="16" t="n">
        <x:f>IF(K380&lt;='Wyniki'!$B$6,1,0)</x:f>
        <x:v>0</x:v>
      </x:c>
      <x:c r="M380" s="17" t="n">
        <x:v>0.33136138964502204</x:v>
      </x:c>
      <x:c r="N380" s="18" t="n">
        <x:v>40</x:v>
      </x:c>
      <x:c r="O380" s="17" t="n">
        <x:v>0.33354559265562767</x:v>
      </x:c>
      <x:c r="P380" s="11" t="n">
        <x:f>1/O380</x:f>
        <x:v>2.9980908817837673</x:v>
      </x:c>
      <x:c r="Q380" s="17" t="n">
        <x:v>3.0856509487968937</x:v>
      </x:c>
      <x:c r="R380" s="11" t="n">
        <x:f>Q380/P380</x:f>
        <x:v>1.0292052744448597</x:v>
      </x:c>
      <x:c r="S380" s="16" t="n">
        <x:f>COUNTIFS($R$8:$R$437,"&gt;"&amp;R380)+COUNTIFS($R$8:R380,R380)</x:f>
        <x:v>227</x:v>
      </x:c>
      <x:c r="T380" s="16" t="n">
        <x:f>IF(S380&lt;='Wyniki'!$B$6,1,0)</x:f>
        <x:v>0</x:v>
      </x:c>
    </x:row>
    <x:row r="381" ht="22" customHeight="1">
      <x:c r="A381" s="18" t="n">
        <x:v>374</x:v>
      </x:c>
      <x:c r="B381" s="17" t="n">
        <x:v>0.9886769873388731</x:v>
      </x:c>
      <x:c r="C381" s="17" t="n">
        <x:v>0.2839636646557981</x:v>
      </x:c>
      <x:c r="D381" s="18" t="n">
        <x:v>0</x:v>
      </x:c>
      <x:c r="E381" s="17" t="n">
        <x:v>0.31586573325003975</x:v>
      </x:c>
      <x:c r="F381" s="18" t="n">
        <x:v>10</x:v>
      </x:c>
      <x:c r="G381" s="17" t="n">
        <x:v>0.28866216668365285</x:v>
      </x:c>
      <x:c r="H381" s="11" t="n">
        <x:f>1/G381</x:f>
        <x:v>3.464257237062548</x:v>
      </x:c>
      <x:c r="I381" s="17" t="n">
        <x:v>3.9611036488285145</x:v>
      </x:c>
      <x:c r="J381" s="11" t="n">
        <x:f>I381/H381</x:f>
        <x:v>1.1434207617293621</x:v>
      </x:c>
      <x:c r="K381" s="16" t="n">
        <x:f>COUNTIFS($J$8:$J$437,"&gt;"&amp;J381)+COUNTIFS($J$8:J381,J381)</x:f>
        <x:v>87</x:v>
      </x:c>
      <x:c r="L381" s="16" t="n">
        <x:f>IF(K381&lt;='Wyniki'!$B$6,1,0)</x:f>
        <x:v>0</x:v>
      </x:c>
      <x:c r="M381" s="17" t="n">
        <x:v>0.5427583207741832</x:v>
      </x:c>
      <x:c r="N381" s="18" t="n">
        <x:v>40</x:v>
      </x:c>
      <x:c r="O381" s="17" t="n">
        <x:v>0.5051178952117172</x:v>
      </x:c>
      <x:c r="P381" s="11" t="n">
        <x:f>1/O381</x:f>
        <x:v>1.9797358388596702</x:v>
      </x:c>
      <x:c r="Q381" s="17" t="n">
        <x:v>2.6179698362050265</x:v>
      </x:c>
      <x:c r="R381" s="11" t="n">
        <x:f>Q381/P381</x:f>
        <x:v>1.3223834133916472</x:v>
      </x:c>
      <x:c r="S381" s="16" t="n">
        <x:f>COUNTIFS($R$8:$R$437,"&gt;"&amp;R381)+COUNTIFS($R$8:R381,R381)</x:f>
        <x:v>77</x:v>
      </x:c>
      <x:c r="T381" s="16" t="n">
        <x:f>IF(S381&lt;='Wyniki'!$B$6,1,0)</x:f>
        <x:v>0</x:v>
      </x:c>
    </x:row>
    <x:row r="382" ht="22" customHeight="1">
      <x:c r="A382" s="18" t="n">
        <x:v>375</x:v>
      </x:c>
      <x:c r="B382" s="17" t="n">
        <x:v>-0.20444418312213225</x:v>
      </x:c>
      <x:c r="C382" s="17" t="n">
        <x:v>-0.4912218418716745</x:v>
      </x:c>
      <x:c r="D382" s="18" t="n">
        <x:v>0</x:v>
      </x:c>
      <x:c r="E382" s="17" t="n">
        <x:v>0.1555088784512013</x:v>
      </x:c>
      <x:c r="F382" s="18" t="n">
        <x:v>10</x:v>
      </x:c>
      <x:c r="G382" s="17" t="n">
        <x:v>0.1515753423434849</x:v>
      </x:c>
      <x:c r="H382" s="11" t="n">
        <x:f>1/G382</x:f>
        <x:v>6.597379128683739</x:v>
      </x:c>
      <x:c r="I382" s="17" t="n">
        <x:v>6.470608326286532</x:v>
      </x:c>
      <x:c r="J382" s="11" t="n">
        <x:f>I382/H382</x:f>
        <x:v>0.9807846722274851</x:v>
      </x:c>
      <x:c r="K382" s="16" t="n">
        <x:f>COUNTIFS($J$8:$J$437,"&gt;"&amp;J382)+COUNTIFS($J$8:J382,J382)</x:f>
        <x:v>378</x:v>
      </x:c>
      <x:c r="L382" s="16" t="n">
        <x:f>IF(K382&lt;='Wyniki'!$B$6,1,0)</x:f>
        <x:v>0</x:v>
      </x:c>
      <x:c r="M382" s="17" t="n">
        <x:v>0.3155357807710663</x:v>
      </x:c>
      <x:c r="N382" s="18" t="n">
        <x:v>40</x:v>
      </x:c>
      <x:c r="O382" s="17" t="n">
        <x:v>0.32629721818441465</x:v>
      </x:c>
      <x:c r="P382" s="11" t="n">
        <x:f>1/O382</x:f>
        <x:v>3.064690546748168</x:v>
      </x:c>
      <x:c r="Q382" s="17" t="n">
        <x:v>3.037251503500888</x:v>
      </x:c>
      <x:c r="R382" s="11" t="n">
        <x:f>Q382/P382</x:f>
        <x:v>0.9910467165187706</x:v>
      </x:c>
      <x:c r="S382" s="16" t="n">
        <x:f>COUNTIFS($R$8:$R$437,"&gt;"&amp;R382)+COUNTIFS($R$8:R382,R382)</x:f>
        <x:v>343</x:v>
      </x:c>
      <x:c r="T382" s="16" t="n">
        <x:f>IF(S382&lt;='Wyniki'!$B$6,1,0)</x:f>
        <x:v>0</x:v>
      </x:c>
    </x:row>
    <x:row r="383" ht="22" customHeight="1">
      <x:c r="A383" s="18" t="n">
        <x:v>376</x:v>
      </x:c>
      <x:c r="B383" s="17" t="n">
        <x:v>0.00629821041885993</x:v>
      </x:c>
      <x:c r="C383" s="17" t="n">
        <x:v>-0.16459558713689101</x:v>
      </x:c>
      <x:c r="D383" s="18" t="n">
        <x:v>0</x:v>
      </x:c>
      <x:c r="E383" s="17" t="n">
        <x:v>0.13094942165538806</x:v>
      </x:c>
      <x:c r="F383" s="18" t="n">
        <x:v>10</x:v>
      </x:c>
      <x:c r="G383" s="17" t="n">
        <x:v>0.12981752835215898</x:v>
      </x:c>
      <x:c r="H383" s="11" t="n">
        <x:f>1/G383</x:f>
        <x:v>7.7031200077024815</x:v>
      </x:c>
      <x:c r="I383" s="17" t="n">
        <x:v>7.657105528751089</x:v>
      </x:c>
      <x:c r="J383" s="11" t="n">
        <x:f>I383/H383</x:f>
        <x:v>0.9940265140741178</x:v>
      </x:c>
      <x:c r="K383" s="16" t="n">
        <x:f>COUNTIFS($J$8:$J$437,"&gt;"&amp;J383)+COUNTIFS($J$8:J383,J383)</x:f>
        <x:v>335</x:v>
      </x:c>
      <x:c r="L383" s="16" t="n">
        <x:f>IF(K383&lt;='Wyniki'!$B$6,1,0)</x:f>
        <x:v>0</x:v>
      </x:c>
      <x:c r="M383" s="17" t="n">
        <x:v>0.26771324319187034</x:v>
      </x:c>
      <x:c r="N383" s="18" t="n">
        <x:v>40</x:v>
      </x:c>
      <x:c r="O383" s="17" t="n">
        <x:v>0.27010163684694327</x:v>
      </x:c>
      <x:c r="P383" s="11" t="n">
        <x:f>1/O383</x:f>
        <x:v>3.702310032895741</x:v>
      </x:c>
      <x:c r="Q383" s="17" t="n">
        <x:v>3.632996615048211</x:v>
      </x:c>
      <x:c r="R383" s="11" t="n">
        <x:f>Q383/P383</x:f>
        <x:v>0.981278332383926</x:v>
      </x:c>
      <x:c r="S383" s="16" t="n">
        <x:f>COUNTIFS($R$8:$R$437,"&gt;"&amp;R383)+COUNTIFS($R$8:R383,R383)</x:f>
        <x:v>381</x:v>
      </x:c>
      <x:c r="T383" s="16" t="n">
        <x:f>IF(S383&lt;='Wyniki'!$B$6,1,0)</x:f>
        <x:v>0</x:v>
      </x:c>
    </x:row>
    <x:row r="384" ht="22" customHeight="1">
      <x:c r="A384" s="18" t="n">
        <x:v>377</x:v>
      </x:c>
      <x:c r="B384" s="17" t="n">
        <x:v>-0.5582873481508489</x:v>
      </x:c>
      <x:c r="C384" s="17" t="n">
        <x:v>1.1268156079748077</x:v>
      </x:c>
      <x:c r="D384" s="18" t="n">
        <x:v>0</x:v>
      </x:c>
      <x:c r="E384" s="17" t="n">
        <x:v>0.5053704000105717</x:v>
      </x:c>
      <x:c r="F384" s="18" t="n">
        <x:v>10</x:v>
      </x:c>
      <x:c r="G384" s="17" t="n">
        <x:v>0.4634831466537059</x:v>
      </x:c>
      <x:c r="H384" s="11" t="n">
        <x:f>1/G384</x:f>
        <x:v>2.1575757548464987</x:v>
      </x:c>
      <x:c r="I384" s="17" t="n">
        <x:v>3.123310728731924</x:v>
      </x:c>
      <x:c r="J384" s="11" t="n">
        <x:f>I384/H384</x:f>
        <x:v>1.4476018845299514</x:v>
      </x:c>
      <x:c r="K384" s="16" t="n">
        <x:f>COUNTIFS($J$8:$J$437,"&gt;"&amp;J384)+COUNTIFS($J$8:J384,J384)</x:f>
        <x:v>22</x:v>
      </x:c>
      <x:c r="L384" s="16" t="n">
        <x:f>IF(K384&lt;='Wyniki'!$B$6,1,0)</x:f>
        <x:v>1</x:v>
      </x:c>
      <x:c r="M384" s="17" t="n">
        <x:v>0.80709069276614</x:v>
      </x:c>
      <x:c r="N384" s="18" t="n">
        <x:v>40</x:v>
      </x:c>
      <x:c r="O384" s="17" t="n">
        <x:v>0.6781036401086622</x:v>
      </x:c>
      <x:c r="P384" s="11" t="n">
        <x:f>1/O384</x:f>
        <x:v>1.474700828681226</x:v>
      </x:c>
      <x:c r="Q384" s="17" t="n">
        <x:v>2.3909736040173852</x:v>
      </x:c>
      <x:c r="R384" s="11" t="n">
        <x:f>Q384/P384</x:f>
        <x:v>1.621327904287916</x:v>
      </x:c>
      <x:c r="S384" s="16" t="n">
        <x:f>COUNTIFS($R$8:$R$437,"&gt;"&amp;R384)+COUNTIFS($R$8:R384,R384)</x:f>
        <x:v>44</x:v>
      </x:c>
      <x:c r="T384" s="16" t="n">
        <x:f>IF(S384&lt;='Wyniki'!$B$6,1,0)</x:f>
        <x:v>0</x:v>
      </x:c>
    </x:row>
    <x:row r="385" ht="22" customHeight="1">
      <x:c r="A385" s="18" t="n">
        <x:v>378</x:v>
      </x:c>
      <x:c r="B385" s="17" t="n">
        <x:v>0.9818426211396721</x:v>
      </x:c>
      <x:c r="C385" s="17" t="n">
        <x:v>0.6248267759554856</x:v>
      </x:c>
      <x:c r="D385" s="18" t="n">
        <x:v>0</x:v>
      </x:c>
      <x:c r="E385" s="17" t="n">
        <x:v>0.39861257891005514</x:v>
      </x:c>
      <x:c r="F385" s="18" t="n">
        <x:v>10</x:v>
      </x:c>
      <x:c r="G385" s="17" t="n">
        <x:v>0.35404702211955674</x:v>
      </x:c>
      <x:c r="H385" s="11" t="n">
        <x:f>1/G385</x:f>
        <x:v>2.824483578518319</x:v>
      </x:c>
      <x:c r="I385" s="17" t="n">
        <x:v>3.5301098170333143</x:v>
      </x:c>
      <x:c r="J385" s="11" t="n">
        <x:f>I385/H385</x:f>
        <x:v>1.249824868475658</x:v>
      </x:c>
      <x:c r="K385" s="16" t="n">
        <x:f>COUNTIFS($J$8:$J$437,"&gt;"&amp;J385)+COUNTIFS($J$8:J385,J385)</x:f>
        <x:v>51</x:v>
      </x:c>
      <x:c r="L385" s="16" t="n">
        <x:f>IF(K385&lt;='Wyniki'!$B$6,1,0)</x:f>
        <x:v>0</x:v>
      </x:c>
      <x:c r="M385" s="17" t="n">
        <x:v>0.634141083651392</x:v>
      </x:c>
      <x:c r="N385" s="18" t="n">
        <x:v>40</x:v>
      </x:c>
      <x:c r="O385" s="17" t="n">
        <x:v>0.5832403765669362</x:v>
      </x:c>
      <x:c r="P385" s="11" t="n">
        <x:f>1/O385</x:f>
        <x:v>1.7145589368935503</x:v>
      </x:c>
      <x:c r="Q385" s="17" t="n">
        <x:v>2.5185408240291602</x:v>
      </x:c>
      <x:c r="R385" s="11" t="n">
        <x:f>Q385/P385</x:f>
        <x:v>1.4689146986059691</x:v>
      </x:c>
      <x:c r="S385" s="16" t="n">
        <x:f>COUNTIFS($R$8:$R$437,"&gt;"&amp;R385)+COUNTIFS($R$8:R385,R385)</x:f>
        <x:v>59</x:v>
      </x:c>
      <x:c r="T385" s="16" t="n">
        <x:f>IF(S385&lt;='Wyniki'!$B$6,1,0)</x:f>
        <x:v>0</x:v>
      </x:c>
    </x:row>
    <x:row r="386" ht="22" customHeight="1">
      <x:c r="A386" s="18" t="n">
        <x:v>379</x:v>
      </x:c>
      <x:c r="B386" s="17" t="n">
        <x:v>-0.5064677187950202</x:v>
      </x:c>
      <x:c r="C386" s="17" t="n">
        <x:v>0.47026062836350335</x:v>
      </x:c>
      <x:c r="D386" s="18" t="n">
        <x:v>0</x:v>
      </x:c>
      <x:c r="E386" s="17" t="n">
        <x:v>0.23236360496651387</x:v>
      </x:c>
      <x:c r="F386" s="18" t="n">
        <x:v>10</x:v>
      </x:c>
      <x:c r="G386" s="17" t="n">
        <x:v>0.19702941514889796</x:v>
      </x:c>
      <x:c r="H386" s="11" t="n">
        <x:f>1/G386</x:f>
        <x:v>5.075384298554028</x:v>
      </x:c>
      <x:c r="I386" s="17" t="n">
        <x:v>6.01609190553087</x:v>
      </x:c>
      <x:c r="J386" s="11" t="n">
        <x:f>I386/H386</x:f>
        <x:v>1.1853470696287665</x:v>
      </x:c>
      <x:c r="K386" s="16" t="n">
        <x:f>COUNTIFS($J$8:$J$437,"&gt;"&amp;J386)+COUNTIFS($J$8:J386,J386)</x:f>
        <x:v>71</x:v>
      </x:c>
      <x:c r="L386" s="16" t="n">
        <x:f>IF(K386&lt;='Wyniki'!$B$6,1,0)</x:f>
        <x:v>0</x:v>
      </x:c>
      <x:c r="M386" s="17" t="n">
        <x:v>0.385718928289475</x:v>
      </x:c>
      <x:c r="N386" s="18" t="n">
        <x:v>40</x:v>
      </x:c>
      <x:c r="O386" s="17" t="n">
        <x:v>0.3772047402663521</x:v>
      </x:c>
      <x:c r="P386" s="11" t="n">
        <x:f>1/O386</x:f>
        <x:v>2.6510801515746576</x:v>
      </x:c>
      <x:c r="Q386" s="17" t="n">
        <x:v>2.8630596638612262</x:v>
      </x:c>
      <x:c r="R386" s="11" t="n">
        <x:f>Q386/P386</x:f>
        <x:v>1.079959676873843</x:v>
      </x:c>
      <x:c r="S386" s="16" t="n">
        <x:f>COUNTIFS($R$8:$R$437,"&gt;"&amp;R386)+COUNTIFS($R$8:R386,R386)</x:f>
        <x:v>164</x:v>
      </x:c>
      <x:c r="T386" s="16" t="n">
        <x:f>IF(S386&lt;='Wyniki'!$B$6,1,0)</x:f>
        <x:v>0</x:v>
      </x:c>
    </x:row>
    <x:row r="387" ht="22" customHeight="1">
      <x:c r="A387" s="18" t="n">
        <x:v>380</x:v>
      </x:c>
      <x:c r="B387" s="17" t="n">
        <x:v>0.351794525223846</x:v>
      </x:c>
      <x:c r="C387" s="17" t="n">
        <x:v>0.24340009331222914</x:v>
      </x:c>
      <x:c r="D387" s="18" t="n">
        <x:v>0</x:v>
      </x:c>
      <x:c r="E387" s="17" t="n">
        <x:v>0.11778987028374728</x:v>
      </x:c>
      <x:c r="F387" s="18" t="n">
        <x:v>10</x:v>
      </x:c>
      <x:c r="G387" s="17" t="n">
        <x:v>0.11598127486337913</x:v>
      </x:c>
      <x:c r="H387" s="11" t="n">
        <x:f>1/G387</x:f>
        <x:v>8.622081462528811</x:v>
      </x:c>
      <x:c r="I387" s="17" t="n">
        <x:v>8.212034162886031</x:v>
      </x:c>
      <x:c r="J387" s="11" t="n">
        <x:f>I387/H387</x:f>
        <x:v>0.9524421914331443</x:v>
      </x:c>
      <x:c r="K387" s="16" t="n">
        <x:f>COUNTIFS($J$8:$J$437,"&gt;"&amp;J387)+COUNTIFS($J$8:J387,J387)</x:f>
        <x:v>423</x:v>
      </x:c>
      <x:c r="L387" s="16" t="n">
        <x:f>IF(K387&lt;='Wyniki'!$B$6,1,0)</x:f>
        <x:v>0</x:v>
      </x:c>
      <x:c r="M387" s="17" t="n">
        <x:v>0.2676609344861801</x:v>
      </x:c>
      <x:c r="N387" s="18" t="n">
        <x:v>40</x:v>
      </x:c>
      <x:c r="O387" s="17" t="n">
        <x:v>0.27540386778589143</x:v>
      </x:c>
      <x:c r="P387" s="11" t="n">
        <x:f>1/O387</x:f>
        <x:v>3.6310310673539083</x:v>
      </x:c>
      <x:c r="Q387" s="17" t="n">
        <x:v>3.550357980617258</x:v>
      </x:c>
      <x:c r="R387" s="11" t="n">
        <x:f>Q387/P387</x:f>
        <x:v>0.9777823198864998</x:v>
      </x:c>
      <x:c r="S387" s="16" t="n">
        <x:f>COUNTIFS($R$8:$R$437,"&gt;"&amp;R387)+COUNTIFS($R$8:R387,R387)</x:f>
        <x:v>398</x:v>
      </x:c>
      <x:c r="T387" s="16" t="n">
        <x:f>IF(S387&lt;='Wyniki'!$B$6,1,0)</x:f>
        <x:v>0</x:v>
      </x:c>
    </x:row>
    <x:row r="388" ht="22" customHeight="1">
      <x:c r="A388" s="18" t="n">
        <x:v>381</x:v>
      </x:c>
      <x:c r="B388" s="17" t="n">
        <x:v>0.6873158968740775</x:v>
      </x:c>
      <x:c r="C388" s="17" t="n">
        <x:v>0.3494541285737026</x:v>
      </x:c>
      <x:c r="D388" s="18" t="n">
        <x:v>0</x:v>
      </x:c>
      <x:c r="E388" s="17" t="n">
        <x:v>0.20745425116024727</x:v>
      </x:c>
      <x:c r="F388" s="18" t="n">
        <x:v>10</x:v>
      </x:c>
      <x:c r="G388" s="17" t="n">
        <x:v>0.1980135087862584</x:v>
      </x:c>
      <x:c r="H388" s="11" t="n">
        <x:f>1/G388</x:f>
        <x:v>5.050160497279149</x:v>
      </x:c>
      <x:c r="I388" s="17" t="n">
        <x:v>5.82334327644063</x:v>
      </x:c>
      <x:c r="J388" s="11" t="n">
        <x:f>I388/H388</x:f>
        <x:v>1.1531006350348756</x:v>
      </x:c>
      <x:c r="K388" s="16" t="n">
        <x:f>COUNTIFS($J$8:$J$437,"&gt;"&amp;J388)+COUNTIFS($J$8:J388,J388)</x:f>
        <x:v>80</x:v>
      </x:c>
      <x:c r="L388" s="16" t="n">
        <x:f>IF(K388&lt;='Wyniki'!$B$6,1,0)</x:f>
        <x:v>0</x:v>
      </x:c>
      <x:c r="M388" s="17" t="n">
        <x:v>0.34984821448386805</x:v>
      </x:c>
      <x:c r="N388" s="18" t="n">
        <x:v>40</x:v>
      </x:c>
      <x:c r="O388" s="17" t="n">
        <x:v>0.36237923829704594</x:v>
      </x:c>
      <x:c r="P388" s="11" t="n">
        <x:f>1/O388</x:f>
        <x:v>2.75953999103086</x:v>
      </x:c>
      <x:c r="Q388" s="17" t="n">
        <x:v>2.988521190636386</x:v>
      </x:c>
      <x:c r="R388" s="11" t="n">
        <x:f>Q388/P388</x:f>
        <x:v>1.0829780326973946</x:v>
      </x:c>
      <x:c r="S388" s="16" t="n">
        <x:f>COUNTIFS($R$8:$R$437,"&gt;"&amp;R388)+COUNTIFS($R$8:R388,R388)</x:f>
        <x:v>162</x:v>
      </x:c>
      <x:c r="T388" s="16" t="n">
        <x:f>IF(S388&lt;='Wyniki'!$B$6,1,0)</x:f>
        <x:v>0</x:v>
      </x:c>
    </x:row>
    <x:row r="389" ht="22" customHeight="1">
      <x:c r="A389" s="18" t="n">
        <x:v>382</x:v>
      </x:c>
      <x:c r="B389" s="17" t="n">
        <x:v>0.40700782996738455</x:v>
      </x:c>
      <x:c r="C389" s="17" t="n">
        <x:v>0.3502984558547156</x:v>
      </x:c>
      <x:c r="D389" s="18" t="n">
        <x:v>0</x:v>
      </x:c>
      <x:c r="E389" s="17" t="n">
        <x:v>0.1203152896973935</x:v>
      </x:c>
      <x:c r="F389" s="18" t="n">
        <x:v>10</x:v>
      </x:c>
      <x:c r="G389" s="17" t="n">
        <x:v>0.1357666871856032</x:v>
      </x:c>
      <x:c r="H389" s="11" t="n">
        <x:f>1/G389</x:f>
        <x:v>7.365577084700648</x:v>
      </x:c>
      <x:c r="I389" s="17" t="n">
        <x:v>7.361918076533297</x:v>
      </x:c>
      <x:c r="J389" s="11" t="n">
        <x:f>I389/H389</x:f>
        <x:v>0.9995032285827337</x:v>
      </x:c>
      <x:c r="K389" s="16" t="n">
        <x:f>COUNTIFS($J$8:$J$437,"&gt;"&amp;J389)+COUNTIFS($J$8:J389,J389)</x:f>
        <x:v>312</x:v>
      </x:c>
      <x:c r="L389" s="16" t="n">
        <x:f>IF(K389&lt;='Wyniki'!$B$6,1,0)</x:f>
        <x:v>0</x:v>
      </x:c>
      <x:c r="M389" s="17" t="n">
        <x:v>0.2715284614766461</x:v>
      </x:c>
      <x:c r="N389" s="18" t="n">
        <x:v>40</x:v>
      </x:c>
      <x:c r="O389" s="17" t="n">
        <x:v>0.28992377436359573</x:v>
      </x:c>
      <x:c r="P389" s="11" t="n">
        <x:f>1/O389</x:f>
        <x:v>3.449182469409673</x:v>
      </x:c>
      <x:c r="Q389" s="17" t="n">
        <x:v>3.4255474003721575</x:v>
      </x:c>
      <x:c r="R389" s="11" t="n">
        <x:f>Q389/P389</x:f>
        <x:v>0.9931476315772994</x:v>
      </x:c>
      <x:c r="S389" s="16" t="n">
        <x:f>COUNTIFS($R$8:$R$437,"&gt;"&amp;R389)+COUNTIFS($R$8:R389,R389)</x:f>
        <x:v>335</x:v>
      </x:c>
      <x:c r="T389" s="16" t="n">
        <x:f>IF(S389&lt;='Wyniki'!$B$6,1,0)</x:f>
        <x:v>0</x:v>
      </x:c>
    </x:row>
    <x:row r="390" ht="22" customHeight="1">
      <x:c r="A390" s="18" t="n">
        <x:v>383</x:v>
      </x:c>
      <x:c r="B390" s="17" t="n">
        <x:v>0.18743527440115826</x:v>
      </x:c>
      <x:c r="C390" s="17" t="n">
        <x:v>-0.9809861213428009</x:v>
      </x:c>
      <x:c r="D390" s="18" t="n">
        <x:v>0</x:v>
      </x:c>
      <x:c r="E390" s="17" t="n">
        <x:v>0.3195041246197592</x:v>
      </x:c>
      <x:c r="F390" s="18" t="n">
        <x:v>10</x:v>
      </x:c>
      <x:c r="G390" s="17" t="n">
        <x:v>0.3016325038161774</x:v>
      </x:c>
      <x:c r="H390" s="11" t="n">
        <x:f>1/G390</x:f>
        <x:v>3.3152925740702854</x:v>
      </x:c>
      <x:c r="I390" s="17" t="n">
        <x:v>3.908164219221786</x:v>
      </x:c>
      <x:c r="J390" s="11" t="n">
        <x:f>I390/H390</x:f>
        <x:v>1.1788293587686633</x:v>
      </x:c>
      <x:c r="K390" s="16" t="n">
        <x:f>COUNTIFS($J$8:$J$437,"&gt;"&amp;J390)+COUNTIFS($J$8:J390,J390)</x:f>
        <x:v>76</x:v>
      </x:c>
      <x:c r="L390" s="16" t="n">
        <x:f>IF(K390&lt;='Wyniki'!$B$6,1,0)</x:f>
        <x:v>0</x:v>
      </x:c>
      <x:c r="M390" s="17" t="n">
        <x:v>0.5483000069150864</x:v>
      </x:c>
      <x:c r="N390" s="18" t="n">
        <x:v>40</x:v>
      </x:c>
      <x:c r="O390" s="17" t="n">
        <x:v>0.49460749772095414</x:v>
      </x:c>
      <x:c r="P390" s="11" t="n">
        <x:f>1/O390</x:f>
        <x:v>2.0218051780609607</x:v>
      </x:c>
      <x:c r="Q390" s="17" t="n">
        <x:v>2.5957980319577367</x:v>
      </x:c>
      <x:c r="R390" s="11" t="n">
        <x:f>Q390/P390</x:f>
        <x:v>1.2839011691755937</x:v>
      </x:c>
      <x:c r="S390" s="16" t="n">
        <x:f>COUNTIFS($R$8:$R$437,"&gt;"&amp;R390)+COUNTIFS($R$8:R390,R390)</x:f>
        <x:v>86</x:v>
      </x:c>
      <x:c r="T390" s="16" t="n">
        <x:f>IF(S390&lt;='Wyniki'!$B$6,1,0)</x:f>
        <x:v>0</x:v>
      </x:c>
    </x:row>
    <x:row r="391" ht="22" customHeight="1">
      <x:c r="A391" s="18" t="n">
        <x:v>384</x:v>
      </x:c>
      <x:c r="B391" s="17" t="n">
        <x:v>0.04599159257580648</x:v>
      </x:c>
      <x:c r="C391" s="17" t="n">
        <x:v>-0.3059055773670189</x:v>
      </x:c>
      <x:c r="D391" s="18" t="n">
        <x:v>0</x:v>
      </x:c>
      <x:c r="E391" s="17" t="n">
        <x:v>0.1467790105086427</x:v>
      </x:c>
      <x:c r="F391" s="18" t="n">
        <x:v>10</x:v>
      </x:c>
      <x:c r="G391" s="17" t="n">
        <x:v>0.13850506324663642</x:v>
      </x:c>
      <x:c r="H391" s="11" t="n">
        <x:f>1/G391</x:f>
        <x:v>7.21995266136442</x:v>
      </x:c>
      <x:c r="I391" s="17" t="n">
        <x:v>7.218107581250722</x:v>
      </x:c>
      <x:c r="J391" s="11" t="n">
        <x:f>I391/H391</x:f>
        <x:v>0.9997444470621571</x:v>
      </x:c>
      <x:c r="K391" s="16" t="n">
        <x:f>COUNTIFS($J$8:$J$437,"&gt;"&amp;J391)+COUNTIFS($J$8:J391,J391)</x:f>
        <x:v>311</x:v>
      </x:c>
      <x:c r="L391" s="16" t="n">
        <x:f>IF(K391&lt;='Wyniki'!$B$6,1,0)</x:f>
        <x:v>0</x:v>
      </x:c>
      <x:c r="M391" s="17" t="n">
        <x:v>0.27167571965914955</x:v>
      </x:c>
      <x:c r="N391" s="18" t="n">
        <x:v>40</x:v>
      </x:c>
      <x:c r="O391" s="17" t="n">
        <x:v>0.2849582890344677</x:v>
      </x:c>
      <x:c r="P391" s="11" t="n">
        <x:f>1/O391</x:f>
        <x:v>3.5092855287288836</x:v>
      </x:c>
      <x:c r="Q391" s="17" t="n">
        <x:v>3.473982099599053</x:v>
      </x:c>
      <x:c r="R391" s="11" t="n">
        <x:f>Q391/P391</x:f>
        <x:v>0.9899399952381138</x:v>
      </x:c>
      <x:c r="S391" s="16" t="n">
        <x:f>COUNTIFS($R$8:$R$437,"&gt;"&amp;R391)+COUNTIFS($R$8:R391,R391)</x:f>
        <x:v>348</x:v>
      </x:c>
      <x:c r="T391" s="16" t="n">
        <x:f>IF(S391&lt;='Wyniki'!$B$6,1,0)</x:f>
        <x:v>0</x:v>
      </x:c>
    </x:row>
    <x:row r="392" ht="22" customHeight="1">
      <x:c r="A392" s="18" t="n">
        <x:v>385</x:v>
      </x:c>
      <x:c r="B392" s="17" t="n">
        <x:v>-0.7039125267020113</x:v>
      </x:c>
      <x:c r="C392" s="17" t="n">
        <x:v>0.9249991406154532</x:v>
      </x:c>
      <x:c r="D392" s="18" t="n">
        <x:v>0</x:v>
      </x:c>
      <x:c r="E392" s="17" t="n">
        <x:v>0.5078354961822916</x:v>
      </x:c>
      <x:c r="F392" s="18" t="n">
        <x:v>10</x:v>
      </x:c>
      <x:c r="G392" s="17" t="n">
        <x:v>0.46996684787201415</x:v>
      </x:c>
      <x:c r="H392" s="11" t="n">
        <x:f>1/G392</x:f>
        <x:v>2.1278096625920506</x:v>
      </x:c>
      <x:c r="I392" s="17" t="n">
        <x:v>3.540857943538551</x:v>
      </x:c>
      <x:c r="J392" s="11" t="n">
        <x:f>I392/H392</x:f>
        <x:v>1.664085846487395</x:v>
      </x:c>
      <x:c r="K392" s="16" t="n">
        <x:f>COUNTIFS($J$8:$J$437,"&gt;"&amp;J392)+COUNTIFS($J$8:J392,J392)</x:f>
        <x:v>13</x:v>
      </x:c>
      <x:c r="L392" s="16" t="n">
        <x:f>IF(K392&lt;='Wyniki'!$B$6,1,0)</x:f>
        <x:v>1</x:v>
      </x:c>
      <x:c r="M392" s="17" t="n">
        <x:v>0.7140494997237453</x:v>
      </x:c>
      <x:c r="N392" s="18" t="n">
        <x:v>40</x:v>
      </x:c>
      <x:c r="O392" s="17" t="n">
        <x:v>0.6263321092627594</x:v>
      </x:c>
      <x:c r="P392" s="11" t="n">
        <x:f>1/O392</x:f>
        <x:v>1.5965970532423703</x:v>
      </x:c>
      <x:c r="Q392" s="17" t="n">
        <x:v>2.413839162204386</x:v>
      </x:c>
      <x:c r="R392" s="11" t="n">
        <x:f>Q392/P392</x:f>
        <x:v>1.5118649738845253</x:v>
      </x:c>
      <x:c r="S392" s="16" t="n">
        <x:f>COUNTIFS($R$8:$R$437,"&gt;"&amp;R392)+COUNTIFS($R$8:R392,R392)</x:f>
        <x:v>53</x:v>
      </x:c>
      <x:c r="T392" s="16" t="n">
        <x:f>IF(S392&lt;='Wyniki'!$B$6,1,0)</x:f>
        <x:v>0</x:v>
      </x:c>
    </x:row>
    <x:row r="393" ht="22" customHeight="1">
      <x:c r="A393" s="18" t="n">
        <x:v>386</x:v>
      </x:c>
      <x:c r="B393" s="17" t="n">
        <x:v>0.950947437487137</x:v>
      </x:c>
      <x:c r="C393" s="17" t="n">
        <x:v>0.7475713301625867</x:v>
      </x:c>
      <x:c r="D393" s="18" t="n">
        <x:v>0</x:v>
      </x:c>
      <x:c r="E393" s="17" t="n">
        <x:v>0.4357576594089931</x:v>
      </x:c>
      <x:c r="F393" s="18" t="n">
        <x:v>10</x:v>
      </x:c>
      <x:c r="G393" s="17" t="n">
        <x:v>0.40104430682724157</x:v>
      </x:c>
      <x:c r="H393" s="11" t="n">
        <x:f>1/G393</x:f>
        <x:v>2.4934900782191414</x:v>
      </x:c>
      <x:c r="I393" s="17" t="n">
        <x:v>3.3584779566584415</x:v>
      </x:c>
      <x:c r="J393" s="11" t="n">
        <x:f>I393/H393</x:f>
        <x:v>1.3468984641226553</x:v>
      </x:c>
      <x:c r="K393" s="16" t="n">
        <x:f>COUNTIFS($J$8:$J$437,"&gt;"&amp;J393)+COUNTIFS($J$8:J393,J393)</x:f>
        <x:v>35</x:v>
      </x:c>
      <x:c r="L393" s="16" t="n">
        <x:f>IF(K393&lt;='Wyniki'!$B$6,1,0)</x:f>
        <x:v>0</x:v>
      </x:c>
      <x:c r="M393" s="17" t="n">
        <x:v>0.6686865702319772</x:v>
      </x:c>
      <x:c r="N393" s="18" t="n">
        <x:v>40</x:v>
      </x:c>
      <x:c r="O393" s="17" t="n">
        <x:v>0.6184674777297465</x:v>
      </x:c>
      <x:c r="P393" s="11" t="n">
        <x:f>1/O393</x:f>
        <x:v>1.6168998953199165</x:v>
      </x:c>
      <x:c r="Q393" s="17" t="n">
        <x:v>2.4235311026433792</x:v>
      </x:c>
      <x:c r="R393" s="11" t="n">
        <x:f>Q393/P393</x:f>
        <x:v>1.4988751682514423</x:v>
      </x:c>
      <x:c r="S393" s="16" t="n">
        <x:f>COUNTIFS($R$8:$R$437,"&gt;"&amp;R393)+COUNTIFS($R$8:R393,R393)</x:f>
        <x:v>55</x:v>
      </x:c>
      <x:c r="T393" s="16" t="n">
        <x:f>IF(S393&lt;='Wyniki'!$B$6,1,0)</x:f>
        <x:v>0</x:v>
      </x:c>
    </x:row>
    <x:row r="394" ht="22" customHeight="1">
      <x:c r="A394" s="18" t="n">
        <x:v>387</x:v>
      </x:c>
      <x:c r="B394" s="17" t="n">
        <x:v>0.14036737927073106</x:v>
      </x:c>
      <x:c r="C394" s="17" t="n">
        <x:v>0.7428438165239613</x:v>
      </x:c>
      <x:c r="D394" s="18" t="n">
        <x:v>0</x:v>
      </x:c>
      <x:c r="E394" s="17" t="n">
        <x:v>0.14368188944466967</x:v>
      </x:c>
      <x:c r="F394" s="18" t="n">
        <x:v>10</x:v>
      </x:c>
      <x:c r="G394" s="17" t="n">
        <x:v>0.16771280135740252</x:v>
      </x:c>
      <x:c r="H394" s="11" t="n">
        <x:f>1/G394</x:f>
        <x:v>5.96257406653748</x:v>
      </x:c>
      <x:c r="I394" s="17" t="n">
        <x:v>5.983490735485601</x:v>
      </x:c>
      <x:c r="J394" s="11" t="n">
        <x:f>I394/H394</x:f>
        <x:v>1.003507993144355</x:v>
      </x:c>
      <x:c r="K394" s="16" t="n">
        <x:f>COUNTIFS($J$8:$J$437,"&gt;"&amp;J394)+COUNTIFS($J$8:J394,J394)</x:f>
        <x:v>291</x:v>
      </x:c>
      <x:c r="L394" s="16" t="n">
        <x:f>IF(K394&lt;='Wyniki'!$B$6,1,0)</x:f>
        <x:v>0</x:v>
      </x:c>
      <x:c r="M394" s="17" t="n">
        <x:v>0.3863478141902916</x:v>
      </x:c>
      <x:c r="N394" s="18" t="n">
        <x:v>40</x:v>
      </x:c>
      <x:c r="O394" s="17" t="n">
        <x:v>0.40426136194766576</x:v>
      </x:c>
      <x:c r="P394" s="11" t="n">
        <x:f>1/O394</x:f>
        <x:v>2.473647234507305</x:v>
      </x:c>
      <x:c r="Q394" s="17" t="n">
        <x:v>2.6420861396098685</x:v>
      </x:c>
      <x:c r="R394" s="11" t="n">
        <x:f>Q394/P394</x:f>
        <x:v>1.068093341181736</x:v>
      </x:c>
      <x:c r="S394" s="16" t="n">
        <x:f>COUNTIFS($R$8:$R$437,"&gt;"&amp;R394)+COUNTIFS($R$8:R394,R394)</x:f>
        <x:v>178</x:v>
      </x:c>
      <x:c r="T394" s="16" t="n">
        <x:f>IF(S394&lt;='Wyniki'!$B$6,1,0)</x:f>
        <x:v>0</x:v>
      </x:c>
    </x:row>
    <x:row r="395" ht="22" customHeight="1">
      <x:c r="A395" s="18" t="n">
        <x:v>388</x:v>
      </x:c>
      <x:c r="B395" s="17" t="n">
        <x:v>0.006629249331004049</x:v>
      </x:c>
      <x:c r="C395" s="17" t="n">
        <x:v>0.11153850229377867</x:v>
      </x:c>
      <x:c r="D395" s="18" t="n">
        <x:v>0</x:v>
      </x:c>
      <x:c r="E395" s="17" t="n">
        <x:v>0.11376082441176247</x:v>
      </x:c>
      <x:c r="F395" s="18" t="n">
        <x:v>10</x:v>
      </x:c>
      <x:c r="G395" s="17" t="n">
        <x:v>0.11286051701536617</x:v>
      </x:c>
      <x:c r="H395" s="11" t="n">
        <x:f>1/G395</x:f>
        <x:v>8.860494586107984</x:v>
      </x:c>
      <x:c r="I395" s="17" t="n">
        <x:v>8.813481817868919</x:v>
      </x:c>
      <x:c r="J395" s="11" t="n">
        <x:f>I395/H395</x:f>
        <x:v>0.9946941146702154</x:v>
      </x:c>
      <x:c r="K395" s="16" t="n">
        <x:f>COUNTIFS($J$8:$J$437,"&gt;"&amp;J395)+COUNTIFS($J$8:J395,J395)</x:f>
        <x:v>331</x:v>
      </x:c>
      <x:c r="L395" s="16" t="n">
        <x:f>IF(K395&lt;='Wyniki'!$B$6,1,0)</x:f>
        <x:v>0</x:v>
      </x:c>
      <x:c r="M395" s="17" t="n">
        <x:v>0.24687867250883622</x:v>
      </x:c>
      <x:c r="N395" s="18" t="n">
        <x:v>40</x:v>
      </x:c>
      <x:c r="O395" s="17" t="n">
        <x:v>0.2556309031841253</x:v>
      </x:c>
      <x:c r="P395" s="11" t="n">
        <x:f>1/O395</x:f>
        <x:v>3.911890102268747</x:v>
      </x:c>
      <x:c r="Q395" s="17" t="n">
        <x:v>3.8156825441253703</x:v>
      </x:c>
      <x:c r="R395" s="11" t="n">
        <x:f>Q395/P395</x:f>
        <x:v>0.9754063750186694</x:v>
      </x:c>
      <x:c r="S395" s="16" t="n">
        <x:f>COUNTIFS($R$8:$R$437,"&gt;"&amp;R395)+COUNTIFS($R$8:R395,R395)</x:f>
        <x:v>408</x:v>
      </x:c>
      <x:c r="T395" s="16" t="n">
        <x:f>IF(S395&lt;='Wyniki'!$B$6,1,0)</x:f>
        <x:v>0</x:v>
      </x:c>
    </x:row>
    <x:row r="396" ht="22" customHeight="1">
      <x:c r="A396" s="18" t="n">
        <x:v>389</x:v>
      </x:c>
      <x:c r="B396" s="17" t="n">
        <x:v>-0.6014092537540907</x:v>
      </x:c>
      <x:c r="C396" s="17" t="n">
        <x:v>0.21834521747436203</x:v>
      </x:c>
      <x:c r="D396" s="18" t="n">
        <x:v>0</x:v>
      </x:c>
      <x:c r="E396" s="17" t="n">
        <x:v>0.1726931986203775</x:v>
      </x:c>
      <x:c r="F396" s="18" t="n">
        <x:v>10</x:v>
      </x:c>
      <x:c r="G396" s="17" t="n">
        <x:v>0.17634498909839524</x:v>
      </x:c>
      <x:c r="H396" s="11" t="n">
        <x:f>1/G396</x:f>
        <x:v>5.670702667043348</x:v>
      </x:c>
      <x:c r="I396" s="17" t="n">
        <x:v>5.70028193517614</x:v>
      </x:c>
      <x:c r="J396" s="11" t="n">
        <x:f>I396/H396</x:f>
        <x:v>1.0052161557164156</x:v>
      </x:c>
      <x:c r="K396" s="16" t="n">
        <x:f>COUNTIFS($J$8:$J$437,"&gt;"&amp;J396)+COUNTIFS($J$8:J396,J396)</x:f>
        <x:v>288</x:v>
      </x:c>
      <x:c r="L396" s="16" t="n">
        <x:f>IF(K396&lt;='Wyniki'!$B$6,1,0)</x:f>
        <x:v>0</x:v>
      </x:c>
      <x:c r="M396" s="17" t="n">
        <x:v>0.35600258023465997</x:v>
      </x:c>
      <x:c r="N396" s="18" t="n">
        <x:v>40</x:v>
      </x:c>
      <x:c r="O396" s="17" t="n">
        <x:v>0.36597272935931185</x:v>
      </x:c>
      <x:c r="P396" s="11" t="n">
        <x:f>1/O396</x:f>
        <x:v>2.7324440314190745</x:v>
      </x:c>
      <x:c r="Q396" s="17" t="n">
        <x:v>2.86305286228718</x:v>
      </x:c>
      <x:c r="R396" s="11" t="n">
        <x:f>Q396/P396</x:f>
        <x:v>1.0477992703112293</x:v>
      </x:c>
      <x:c r="S396" s="16" t="n">
        <x:f>COUNTIFS($R$8:$R$437,"&gt;"&amp;R396)+COUNTIFS($R$8:R396,R396)</x:f>
        <x:v>202</x:v>
      </x:c>
      <x:c r="T396" s="16" t="n">
        <x:f>IF(S396&lt;='Wyniki'!$B$6,1,0)</x:f>
        <x:v>0</x:v>
      </x:c>
    </x:row>
    <x:row r="397" ht="22" customHeight="1">
      <x:c r="A397" s="18" t="n">
        <x:v>390</x:v>
      </x:c>
      <x:c r="B397" s="17" t="n">
        <x:v>0.03321226063342941</x:v>
      </x:c>
      <x:c r="C397" s="17" t="n">
        <x:v>-0.7164586642589555</x:v>
      </x:c>
      <x:c r="D397" s="18" t="n">
        <x:v>0</x:v>
      </x:c>
      <x:c r="E397" s="17" t="n">
        <x:v>0.179870961685972</x:v>
      </x:c>
      <x:c r="F397" s="18" t="n">
        <x:v>10</x:v>
      </x:c>
      <x:c r="G397" s="17" t="n">
        <x:v>0.17821981066241546</x:v>
      </x:c>
      <x:c r="H397" s="11" t="n">
        <x:f>1/G397</x:f>
        <x:v>5.611048492775044</x:v>
      </x:c>
      <x:c r="I397" s="17" t="n">
        <x:v>5.764891303745541</x:v>
      </x:c>
      <x:c r="J397" s="11" t="n">
        <x:f>I397/H397</x:f>
        <x:v>1.0274178366429358</x:v>
      </x:c>
      <x:c r="K397" s="16" t="n">
        <x:f>COUNTIFS($J$8:$J$437,"&gt;"&amp;J397)+COUNTIFS($J$8:J397,J397)</x:f>
        <x:v>228</x:v>
      </x:c>
      <x:c r="L397" s="16" t="n">
        <x:f>IF(K397&lt;='Wyniki'!$B$6,1,0)</x:f>
        <x:v>0</x:v>
      </x:c>
      <x:c r="M397" s="17" t="n">
        <x:v>0.3685338313135394</x:v>
      </x:c>
      <x:c r="N397" s="18" t="n">
        <x:v>40</x:v>
      </x:c>
      <x:c r="O397" s="17" t="n">
        <x:v>0.3673920167942551</x:v>
      </x:c>
      <x:c r="P397" s="11" t="n">
        <x:f>1/O397</x:f>
        <x:v>2.7218882128296618</x:v>
      </x:c>
      <x:c r="Q397" s="17" t="n">
        <x:v>2.856628970838093</x:v>
      </x:c>
      <x:c r="R397" s="11" t="n">
        <x:f>Q397/P397</x:f>
        <x:v>1.0495026788291042</x:v>
      </x:c>
      <x:c r="S397" s="16" t="n">
        <x:f>COUNTIFS($R$8:$R$437,"&gt;"&amp;R397)+COUNTIFS($R$8:R397,R397)</x:f>
        <x:v>200</x:v>
      </x:c>
      <x:c r="T397" s="16" t="n">
        <x:f>IF(S397&lt;='Wyniki'!$B$6,1,0)</x:f>
        <x:v>0</x:v>
      </x:c>
    </x:row>
    <x:row r="398" ht="22" customHeight="1">
      <x:c r="A398" s="18" t="n">
        <x:v>391</x:v>
      </x:c>
      <x:c r="B398" s="17" t="n">
        <x:v>-0.0281584114991283</x:v>
      </x:c>
      <x:c r="C398" s="17" t="n">
        <x:v>-0.04385126012124466</x:v>
      </x:c>
      <x:c r="D398" s="18" t="n">
        <x:v>0</x:v>
      </x:c>
      <x:c r="E398" s="17" t="n">
        <x:v>0.13317836370360583</x:v>
      </x:c>
      <x:c r="F398" s="18" t="n">
        <x:v>10</x:v>
      </x:c>
      <x:c r="G398" s="17" t="n">
        <x:v>0.12786713857836401</x:v>
      </x:c>
      <x:c r="H398" s="11" t="n">
        <x:f>1/G398</x:f>
        <x:v>7.820617643579667</x:v>
      </x:c>
      <x:c r="I398" s="17" t="n">
        <x:v>7.736243840105321</x:v>
      </x:c>
      <x:c r="J398" s="11" t="n">
        <x:f>I398/H398</x:f>
        <x:v>0.9892113631787621</x:v>
      </x:c>
      <x:c r="K398" s="16" t="n">
        <x:f>COUNTIFS($J$8:$J$437,"&gt;"&amp;J398)+COUNTIFS($J$8:J398,J398)</x:f>
        <x:v>351</x:v>
      </x:c>
      <x:c r="L398" s="16" t="n">
        <x:f>IF(K398&lt;='Wyniki'!$B$6,1,0)</x:f>
        <x:v>0</x:v>
      </x:c>
      <x:c r="M398" s="17" t="n">
        <x:v>0.2387682045019023</x:v>
      </x:c>
      <x:c r="N398" s="18" t="n">
        <x:v>40</x:v>
      </x:c>
      <x:c r="O398" s="17" t="n">
        <x:v>0.260469589678557</x:v>
      </x:c>
      <x:c r="P398" s="11" t="n">
        <x:f>1/O398</x:f>
        <x:v>3.839219776996195</x:v>
      </x:c>
      <x:c r="Q398" s="17" t="n">
        <x:v>3.783799863351395</x:v>
      </x:c>
      <x:c r="R398" s="11" t="n">
        <x:f>Q398/P398</x:f>
        <x:v>0.985564797832918</x:v>
      </x:c>
      <x:c r="S398" s="16" t="n">
        <x:f>COUNTIFS($R$8:$R$437,"&gt;"&amp;R398)+COUNTIFS($R$8:R398,R398)</x:f>
        <x:v>365</x:v>
      </x:c>
      <x:c r="T398" s="16" t="n">
        <x:f>IF(S398&lt;='Wyniki'!$B$6,1,0)</x:f>
        <x:v>0</x:v>
      </x:c>
    </x:row>
    <x:row r="399" ht="22" customHeight="1">
      <x:c r="A399" s="18" t="n">
        <x:v>392</x:v>
      </x:c>
      <x:c r="B399" s="17" t="n">
        <x:v>0.9886586416545521</x:v>
      </x:c>
      <x:c r="C399" s="17" t="n">
        <x:v>0.49181733068237526</x:v>
      </x:c>
      <x:c r="D399" s="18" t="n">
        <x:v>0</x:v>
      </x:c>
      <x:c r="E399" s="17" t="n">
        <x:v>0.33327875891881414</x:v>
      </x:c>
      <x:c r="F399" s="18" t="n">
        <x:v>10</x:v>
      </x:c>
      <x:c r="G399" s="17" t="n">
        <x:v>0.3233178423351718</x:v>
      </x:c>
      <x:c r="H399" s="11" t="n">
        <x:f>1/G399</x:f>
        <x:v>3.092931688450823</x:v>
      </x:c>
      <x:c r="I399" s="17" t="n">
        <x:v>3.5468273889000015</x:v>
      </x:c>
      <x:c r="J399" s="11" t="n">
        <x:f>I399/H399</x:f>
        <x:v>1.14675257851444</x:v>
      </x:c>
      <x:c r="K399" s="16" t="n">
        <x:f>COUNTIFS($J$8:$J$437,"&gt;"&amp;J399)+COUNTIFS($J$8:J399,J399)</x:f>
        <x:v>86</x:v>
      </x:c>
      <x:c r="L399" s="16" t="n">
        <x:f>IF(K399&lt;='Wyniki'!$B$6,1,0)</x:f>
        <x:v>0</x:v>
      </x:c>
      <x:c r="M399" s="17" t="n">
        <x:v>0.6062603283395925</x:v>
      </x:c>
      <x:c r="N399" s="18" t="n">
        <x:v>40</x:v>
      </x:c>
      <x:c r="O399" s="17" t="n">
        <x:v>0.5308968352843484</x:v>
      </x:c>
      <x:c r="P399" s="11" t="n">
        <x:f>1/O399</x:f>
        <x:v>1.8836051253995514</x:v>
      </x:c>
      <x:c r="Q399" s="17" t="n">
        <x:v>2.655374491452489</x:v>
      </x:c>
      <x:c r="R399" s="11" t="n">
        <x:f>Q399/P399</x:f>
        <x:v>1.4097299140069124</x:v>
      </x:c>
      <x:c r="S399" s="16" t="n">
        <x:f>COUNTIFS($R$8:$R$437,"&gt;"&amp;R399)+COUNTIFS($R$8:R399,R399)</x:f>
        <x:v>63</x:v>
      </x:c>
      <x:c r="T399" s="16" t="n">
        <x:f>IF(S399&lt;='Wyniki'!$B$6,1,0)</x:f>
        <x:v>0</x:v>
      </x:c>
    </x:row>
    <x:row r="400" ht="22" customHeight="1">
      <x:c r="A400" s="18" t="n">
        <x:v>393</x:v>
      </x:c>
      <x:c r="B400" s="17" t="n">
        <x:v>0.006294991500306309</x:v>
      </x:c>
      <x:c r="C400" s="17" t="n">
        <x:v>0.13683302039059567</x:v>
      </x:c>
      <x:c r="D400" s="18" t="n">
        <x:v>0</x:v>
      </x:c>
      <x:c r="E400" s="17" t="n">
        <x:v>0.10890539895163395</x:v>
      </x:c>
      <x:c r="F400" s="18" t="n">
        <x:v>10</x:v>
      </x:c>
      <x:c r="G400" s="17" t="n">
        <x:v>0.1136953351497152</x:v>
      </x:c>
      <x:c r="H400" s="11" t="n">
        <x:f>1/G400</x:f>
        <x:v>8.795435614690696</x:v>
      </x:c>
      <x:c r="I400" s="17" t="n">
        <x:v>8.826266004023399</x:v>
      </x:c>
      <x:c r="J400" s="11" t="n">
        <x:f>I400/H400</x:f>
        <x:v>1.003505271447978</x:v>
      </x:c>
      <x:c r="K400" s="16" t="n">
        <x:f>COUNTIFS($J$8:$J$437,"&gt;"&amp;J400)+COUNTIFS($J$8:J400,J400)</x:f>
        <x:v>292</x:v>
      </x:c>
      <x:c r="L400" s="16" t="n">
        <x:f>IF(K400&lt;='Wyniki'!$B$6,1,0)</x:f>
        <x:v>0</x:v>
      </x:c>
      <x:c r="M400" s="17" t="n">
        <x:v>0.25339008002088137</x:v>
      </x:c>
      <x:c r="N400" s="18" t="n">
        <x:v>40</x:v>
      </x:c>
      <x:c r="O400" s="17" t="n">
        <x:v>0.25574203498840997</x:v>
      </x:c>
      <x:c r="P400" s="11" t="n">
        <x:f>1/O400</x:f>
        <x:v>3.910190204145827</x:v>
      </x:c>
      <x:c r="Q400" s="17" t="n">
        <x:v>3.8055078756206298</x:v>
      </x:c>
      <x:c r="R400" s="11" t="n">
        <x:f>Q400/P400</x:f>
        <x:v>0.9732283282756408</x:v>
      </x:c>
      <x:c r="S400" s="16" t="n">
        <x:f>COUNTIFS($R$8:$R$437,"&gt;"&amp;R400)+COUNTIFS($R$8:R400,R400)</x:f>
        <x:v>417</x:v>
      </x:c>
      <x:c r="T400" s="16" t="n">
        <x:f>IF(S400&lt;='Wyniki'!$B$6,1,0)</x:f>
        <x:v>0</x:v>
      </x:c>
    </x:row>
    <x:row r="401" ht="22" customHeight="1">
      <x:c r="A401" s="18" t="n">
        <x:v>394</x:v>
      </x:c>
      <x:c r="B401" s="17" t="n">
        <x:v>0.024316807957308933</x:v>
      </x:c>
      <x:c r="C401" s="17" t="n">
        <x:v>-0.11160269163755127</x:v>
      </x:c>
      <x:c r="D401" s="18" t="n">
        <x:v>0</x:v>
      </x:c>
      <x:c r="E401" s="17" t="n">
        <x:v>0.12251281668600641</x:v>
      </x:c>
      <x:c r="F401" s="18" t="n">
        <x:v>10</x:v>
      </x:c>
      <x:c r="G401" s="17" t="n">
        <x:v>0.12585004361942162</x:v>
      </x:c>
      <x:c r="H401" s="11" t="n">
        <x:f>1/G401</x:f>
        <x:v>7.945964667474112</x:v>
      </x:c>
      <x:c r="I401" s="17" t="n">
        <x:v>7.709997074323757</x:v>
      </x:c>
      <x:c r="J401" s="11" t="n">
        <x:f>I401/H401</x:f>
        <x:v>0.9703034681092579</x:v>
      </x:c>
      <x:c r="K401" s="16" t="n">
        <x:f>COUNTIFS($J$8:$J$437,"&gt;"&amp;J401)+COUNTIFS($J$8:J401,J401)</x:f>
        <x:v>402</x:v>
      </x:c>
      <x:c r="L401" s="16" t="n">
        <x:f>IF(K401&lt;='Wyniki'!$B$6,1,0)</x:f>
        <x:v>0</x:v>
      </x:c>
      <x:c r="M401" s="17" t="n">
        <x:v>0.2604078709968062</x:v>
      </x:c>
      <x:c r="N401" s="18" t="n">
        <x:v>40</x:v>
      </x:c>
      <x:c r="O401" s="17" t="n">
        <x:v>0.2622737043638358</x:v>
      </x:c>
      <x:c r="P401" s="11" t="n">
        <x:f>1/O401</x:f>
        <x:v>3.8128107521322954</x:v>
      </x:c>
      <x:c r="Q401" s="17" t="n">
        <x:v>3.736115821508181</x:v>
      </x:c>
      <x:c r="R401" s="11" t="n">
        <x:f>Q401/P401</x:f>
        <x:v>0.9798849364392861</x:v>
      </x:c>
      <x:c r="S401" s="16" t="n">
        <x:f>COUNTIFS($R$8:$R$437,"&gt;"&amp;R401)+COUNTIFS($R$8:R401,R401)</x:f>
        <x:v>389</x:v>
      </x:c>
      <x:c r="T401" s="16" t="n">
        <x:f>IF(S401&lt;='Wyniki'!$B$6,1,0)</x:f>
        <x:v>0</x:v>
      </x:c>
    </x:row>
    <x:row r="402" ht="22" customHeight="1">
      <x:c r="A402" s="18" t="n">
        <x:v>395</x:v>
      </x:c>
      <x:c r="B402" s="17" t="n">
        <x:v>-0.5953349585635578</x:v>
      </x:c>
      <x:c r="C402" s="17" t="n">
        <x:v>-0.0830785326838111</x:v>
      </x:c>
      <x:c r="D402" s="18" t="n">
        <x:v>0</x:v>
      </x:c>
      <x:c r="E402" s="17" t="n">
        <x:v>0.15086792097992596</x:v>
      </x:c>
      <x:c r="F402" s="18" t="n">
        <x:v>10</x:v>
      </x:c>
      <x:c r="G402" s="17" t="n">
        <x:v>0.13572779304073007</x:v>
      </x:c>
      <x:c r="H402" s="11" t="n">
        <x:f>1/G402</x:f>
        <x:v>7.367687763845932</x:v>
      </x:c>
      <x:c r="I402" s="17" t="n">
        <x:v>7.300640593129126</x:v>
      </x:c>
      <x:c r="J402" s="11" t="n">
        <x:f>I402/H402</x:f>
        <x:v>0.9908998354889827</x:v>
      </x:c>
      <x:c r="K402" s="16" t="n">
        <x:f>COUNTIFS($J$8:$J$437,"&gt;"&amp;J402)+COUNTIFS($J$8:J402,J402)</x:f>
        <x:v>346</x:v>
      </x:c>
      <x:c r="L402" s="16" t="n">
        <x:f>IF(K402&lt;='Wyniki'!$B$6,1,0)</x:f>
        <x:v>0</x:v>
      </x:c>
      <x:c r="M402" s="17" t="n">
        <x:v>0.3564142018157972</x:v>
      </x:c>
      <x:c r="N402" s="18" t="n">
        <x:v>40</x:v>
      </x:c>
      <x:c r="O402" s="17" t="n">
        <x:v>0.35428702330924294</x:v>
      </x:c>
      <x:c r="P402" s="11" t="n">
        <x:f>1/O402</x:f>
        <x:v>2.82257021625977</x:v>
      </x:c>
      <x:c r="Q402" s="17" t="n">
        <x:v>2.8537517029843924</x:v>
      </x:c>
      <x:c r="R402" s="11" t="n">
        <x:f>Q402/P402</x:f>
        <x:v>1.0110471961140233</x:v>
      </x:c>
      <x:c r="S402" s="16" t="n">
        <x:f>COUNTIFS($R$8:$R$437,"&gt;"&amp;R402)+COUNTIFS($R$8:R402,R402)</x:f>
        <x:v>263</x:v>
      </x:c>
      <x:c r="T402" s="16" t="n">
        <x:f>IF(S402&lt;='Wyniki'!$B$6,1,0)</x:f>
        <x:v>0</x:v>
      </x:c>
    </x:row>
    <x:row r="403" ht="22" customHeight="1">
      <x:c r="A403" s="18" t="n">
        <x:v>396</x:v>
      </x:c>
      <x:c r="B403" s="17" t="n">
        <x:v>-0.4103540411588824</x:v>
      </x:c>
      <x:c r="C403" s="17" t="n">
        <x:v>-0.6876735464077306</x:v>
      </x:c>
      <x:c r="D403" s="18" t="n">
        <x:v>0</x:v>
      </x:c>
      <x:c r="E403" s="17" t="n">
        <x:v>0.1516384520937356</x:v>
      </x:c>
      <x:c r="F403" s="18" t="n">
        <x:v>10</x:v>
      </x:c>
      <x:c r="G403" s="17" t="n">
        <x:v>0.17272616258885437</x:v>
      </x:c>
      <x:c r="H403" s="11" t="n">
        <x:f>1/G403</x:f>
        <x:v>5.7895108940753355</x:v>
      </x:c>
      <x:c r="I403" s="17" t="n">
        <x:v>5.856690456974379</x:v>
      </x:c>
      <x:c r="J403" s="11" t="n">
        <x:f>I403/H403</x:f>
        <x:v>1.0116036681039484</x:v>
      </x:c>
      <x:c r="K403" s="16" t="n">
        <x:f>COUNTIFS($J$8:$J$437,"&gt;"&amp;J403)+COUNTIFS($J$8:J403,J403)</x:f>
        <x:v>264</x:v>
      </x:c>
      <x:c r="L403" s="16" t="n">
        <x:f>IF(K403&lt;='Wyniki'!$B$6,1,0)</x:f>
        <x:v>0</x:v>
      </x:c>
      <x:c r="M403" s="17" t="n">
        <x:v>0.41897689766072627</x:v>
      </x:c>
      <x:c r="N403" s="18" t="n">
        <x:v>40</x:v>
      </x:c>
      <x:c r="O403" s="17" t="n">
        <x:v>0.37818097147386</x:v>
      </x:c>
      <x:c r="P403" s="11" t="n">
        <x:f>1/O403</x:f>
        <x:v>2.644236689389118</x:v>
      </x:c>
      <x:c r="Q403" s="17" t="n">
        <x:v>2.7126959237653816</x:v>
      </x:c>
      <x:c r="R403" s="11" t="n">
        <x:f>Q403/P403</x:f>
        <x:v>1.025889979762772</x:v>
      </x:c>
      <x:c r="S403" s="16" t="n">
        <x:f>COUNTIFS($R$8:$R$437,"&gt;"&amp;R403)+COUNTIFS($R$8:R403,R403)</x:f>
        <x:v>230</x:v>
      </x:c>
      <x:c r="T403" s="16" t="n">
        <x:f>IF(S403&lt;='Wyniki'!$B$6,1,0)</x:f>
        <x:v>0</x:v>
      </x:c>
    </x:row>
    <x:row r="404" ht="22" customHeight="1">
      <x:c r="A404" s="18" t="n">
        <x:v>397</x:v>
      </x:c>
      <x:c r="B404" s="17" t="n">
        <x:v>0.2811719980011441</x:v>
      </x:c>
      <x:c r="C404" s="17" t="n">
        <x:v>0.21519556296327924</x:v>
      </x:c>
      <x:c r="D404" s="18" t="n">
        <x:v>0</x:v>
      </x:c>
      <x:c r="E404" s="17" t="n">
        <x:v>0.11436316173425465</x:v>
      </x:c>
      <x:c r="F404" s="18" t="n">
        <x:v>10</x:v>
      </x:c>
      <x:c r="G404" s="17" t="n">
        <x:v>0.1320912709081132</x:v>
      </x:c>
      <x:c r="H404" s="11" t="n">
        <x:f>1/G404</x:f>
        <x:v>7.5705229658637405</x:v>
      </x:c>
      <x:c r="I404" s="17" t="n">
        <x:v>7.822782342359938</x:v>
      </x:c>
      <x:c r="J404" s="11" t="n">
        <x:f>I404/H404</x:f>
        <x:v>1.033321261639871</x:v>
      </x:c>
      <x:c r="K404" s="16" t="n">
        <x:f>COUNTIFS($J$8:$J$437,"&gt;"&amp;J404)+COUNTIFS($J$8:J404,J404)</x:f>
        <x:v>209</x:v>
      </x:c>
      <x:c r="L404" s="16" t="n">
        <x:f>IF(K404&lt;='Wyniki'!$B$6,1,0)</x:f>
        <x:v>0</x:v>
      </x:c>
      <x:c r="M404" s="17" t="n">
        <x:v>0.2532774942438236</x:v>
      </x:c>
      <x:c r="N404" s="18" t="n">
        <x:v>40</x:v>
      </x:c>
      <x:c r="O404" s="17" t="n">
        <x:v>0.2648749619465861</x:v>
      </x:c>
      <x:c r="P404" s="11" t="n">
        <x:f>1/O404</x:f>
        <x:v>3.775366280946015</x:v>
      </x:c>
      <x:c r="Q404" s="17" t="n">
        <x:v>3.66794199810307</x:v>
      </x:c>
      <x:c r="R404" s="11" t="n">
        <x:f>Q404/P404</x:f>
        <x:v>0.9715459971698356</x:v>
      </x:c>
      <x:c r="S404" s="16" t="n">
        <x:f>COUNTIFS($R$8:$R$437,"&gt;"&amp;R404)+COUNTIFS($R$8:R404,R404)</x:f>
        <x:v>420</x:v>
      </x:c>
      <x:c r="T404" s="16" t="n">
        <x:f>IF(S404&lt;='Wyniki'!$B$6,1,0)</x:f>
        <x:v>0</x:v>
      </x:c>
    </x:row>
    <x:row r="405" ht="22" customHeight="1">
      <x:c r="A405" s="18" t="n">
        <x:v>398</x:v>
      </x:c>
      <x:c r="B405" s="17" t="n">
        <x:v>-0.982689131252443</x:v>
      </x:c>
      <x:c r="C405" s="17" t="n">
        <x:v>-0.06747655062231997</x:v>
      </x:c>
      <x:c r="D405" s="18" t="n">
        <x:v>0</x:v>
      </x:c>
      <x:c r="E405" s="17" t="n">
        <x:v>0.2111656434253235</x:v>
      </x:c>
      <x:c r="F405" s="18" t="n">
        <x:v>10</x:v>
      </x:c>
      <x:c r="G405" s="17" t="n">
        <x:v>0.23816118865487307</x:v>
      </x:c>
      <x:c r="H405" s="11" t="n">
        <x:f>1/G405</x:f>
        <x:v>4.198836954282806</x:v>
      </x:c>
      <x:c r="I405" s="17" t="n">
        <x:v>4.24072246415637</x:v>
      </x:c>
      <x:c r="J405" s="11" t="n">
        <x:f>I405/H405</x:f>
        <x:v>1.0099755028189035</x:v>
      </x:c>
      <x:c r="K405" s="16" t="n">
        <x:f>COUNTIFS($J$8:$J$437,"&gt;"&amp;J405)+COUNTIFS($J$8:J405,J405)</x:f>
        <x:v>268</x:v>
      </x:c>
      <x:c r="L405" s="16" t="n">
        <x:f>IF(K405&lt;='Wyniki'!$B$6,1,0)</x:f>
        <x:v>0</x:v>
      </x:c>
      <x:c r="M405" s="17" t="n">
        <x:v>0.47977196426995894</x:v>
      </x:c>
      <x:c r="N405" s="18" t="n">
        <x:v>40</x:v>
      </x:c>
      <x:c r="O405" s="17" t="n">
        <x:v>0.475030856879928</x:v>
      </x:c>
      <x:c r="P405" s="11" t="n">
        <x:f>1/O405</x:f>
        <x:v>2.1051264049837646</x:v>
      </x:c>
      <x:c r="Q405" s="17" t="n">
        <x:v>2.3971387324961024</x:v>
      </x:c>
      <x:c r="R405" s="11" t="n">
        <x:f>Q405/P405</x:f>
        <x:v>1.138714866157688</x:v>
      </x:c>
      <x:c r="S405" s="16" t="n">
        <x:f>COUNTIFS($R$8:$R$437,"&gt;"&amp;R405)+COUNTIFS($R$8:R405,R405)</x:f>
        <x:v>133</x:v>
      </x:c>
      <x:c r="T405" s="16" t="n">
        <x:f>IF(S405&lt;='Wyniki'!$B$6,1,0)</x:f>
        <x:v>0</x:v>
      </x:c>
    </x:row>
    <x:row r="406" ht="22" customHeight="1">
      <x:c r="A406" s="18" t="n">
        <x:v>399</x:v>
      </x:c>
      <x:c r="B406" s="17" t="n">
        <x:v>0.547635762244958</x:v>
      </x:c>
      <x:c r="C406" s="17" t="n">
        <x:v>0.5825730563929765</x:v>
      </x:c>
      <x:c r="D406" s="18" t="n">
        <x:v>0</x:v>
      </x:c>
      <x:c r="E406" s="17" t="n">
        <x:v>0.21411001740183166</x:v>
      </x:c>
      <x:c r="F406" s="18" t="n">
        <x:v>10</x:v>
      </x:c>
      <x:c r="G406" s="17" t="n">
        <x:v>0.21696921137202185</x:v>
      </x:c>
      <x:c r="H406" s="11" t="n">
        <x:f>1/G406</x:f>
        <x:v>4.608948862727672</x:v>
      </x:c>
      <x:c r="I406" s="17" t="n">
        <x:v>5.232396305998636</x:v>
      </x:c>
      <x:c r="J406" s="11" t="n">
        <x:f>I406/H406</x:f>
        <x:v>1.1352689000984042</x:v>
      </x:c>
      <x:c r="K406" s="16" t="n">
        <x:f>COUNTIFS($J$8:$J$437,"&gt;"&amp;J406)+COUNTIFS($J$8:J406,J406)</x:f>
        <x:v>91</x:v>
      </x:c>
      <x:c r="L406" s="16" t="n">
        <x:f>IF(K406&lt;='Wyniki'!$B$6,1,0)</x:f>
        <x:v>0</x:v>
      </x:c>
      <x:c r="M406" s="17" t="n">
        <x:v>0.40885555800984696</x:v>
      </x:c>
      <x:c r="N406" s="18" t="n">
        <x:v>40</x:v>
      </x:c>
      <x:c r="O406" s="17" t="n">
        <x:v>0.3810889486248804</x:v>
      </x:c>
      <x:c r="P406" s="11" t="n">
        <x:f>1/O406</x:f>
        <x:v>2.6240593006131387</x:v>
      </x:c>
      <x:c r="Q406" s="17" t="n">
        <x:v>2.988235262538045</x:v>
      </x:c>
      <x:c r="R406" s="11" t="n">
        <x:f>Q406/P406</x:f>
        <x:v>1.138783434444417</x:v>
      </x:c>
      <x:c r="S406" s="16" t="n">
        <x:f>COUNTIFS($R$8:$R$437,"&gt;"&amp;R406)+COUNTIFS($R$8:R406,R406)</x:f>
        <x:v>132</x:v>
      </x:c>
      <x:c r="T406" s="16" t="n">
        <x:f>IF(S406&lt;='Wyniki'!$B$6,1,0)</x:f>
        <x:v>0</x:v>
      </x:c>
    </x:row>
    <x:row r="407" ht="22" customHeight="1">
      <x:c r="A407" s="18" t="n">
        <x:v>400</x:v>
      </x:c>
      <x:c r="B407" s="17" t="n">
        <x:v>0.5642102635868813</x:v>
      </x:c>
      <x:c r="C407" s="17" t="n">
        <x:v>0.021402263795802894</x:v>
      </x:c>
      <x:c r="D407" s="18" t="n">
        <x:v>0</x:v>
      </x:c>
      <x:c r="E407" s="17" t="n">
        <x:v>0.18313266253594337</x:v>
      </x:c>
      <x:c r="F407" s="18" t="n">
        <x:v>10</x:v>
      </x:c>
      <x:c r="G407" s="17" t="n">
        <x:v>0.16632310866440497</x:v>
      </x:c>
      <x:c r="H407" s="11" t="n">
        <x:f>1/G407</x:f>
        <x:v>6.012393635677706</x:v>
      </x:c>
      <x:c r="I407" s="17" t="n">
        <x:v>6.630053140752612</x:v>
      </x:c>
      <x:c r="J407" s="11" t="n">
        <x:f>I407/H407</x:f>
        <x:v>1.1027310489801763</x:v>
      </x:c>
      <x:c r="K407" s="16" t="n">
        <x:f>COUNTIFS($J$8:$J$437,"&gt;"&amp;J407)+COUNTIFS($J$8:J407,J407)</x:f>
        <x:v>111</x:v>
      </x:c>
      <x:c r="L407" s="16" t="n">
        <x:f>IF(K407&lt;='Wyniki'!$B$6,1,0)</x:f>
        <x:v>0</x:v>
      </x:c>
      <x:c r="M407" s="17" t="n">
        <x:v>0.31149157943806205</x:v>
      </x:c>
      <x:c r="N407" s="18" t="n">
        <x:v>40</x:v>
      </x:c>
      <x:c r="O407" s="17" t="n">
        <x:v>0.30800820355584985</x:v>
      </x:c>
      <x:c r="P407" s="11" t="n">
        <x:f>1/O407</x:f>
        <x:v>3.2466667720383433</x:v>
      </x:c>
      <x:c r="Q407" s="17" t="n">
        <x:v>3.2835057339442444</x:v>
      </x:c>
      <x:c r="R407" s="11" t="n">
        <x:f>Q407/P407</x:f>
        <x:v>1.011346702477499</x:v>
      </x:c>
      <x:c r="S407" s="16" t="n">
        <x:f>COUNTIFS($R$8:$R$437,"&gt;"&amp;R407)+COUNTIFS($R$8:R407,R407)</x:f>
        <x:v>261</x:v>
      </x:c>
      <x:c r="T407" s="16" t="n">
        <x:f>IF(S407&lt;='Wyniki'!$B$6,1,0)</x:f>
        <x:v>0</x:v>
      </x:c>
    </x:row>
    <x:row r="408" ht="22" customHeight="1">
      <x:c r="A408" s="18" t="n">
        <x:v>401</x:v>
      </x:c>
      <x:c r="B408" s="17" t="n">
        <x:v>3.932396373762468</x:v>
      </x:c>
      <x:c r="C408" s="17" t="n">
        <x:v>-0.08669590618864485</x:v>
      </x:c>
      <x:c r="D408" s="18" t="n">
        <x:v>1</x:v>
      </x:c>
      <x:c r="E408" s="17" t="n">
        <x:v>0.11198163045590928</x:v>
      </x:c>
      <x:c r="F408" s="18" t="n">
        <x:v>10</x:v>
      </x:c>
      <x:c r="G408" s="17" t="n">
        <x:v>0.10620697563920034</x:v>
      </x:c>
      <x:c r="H408" s="11" t="n">
        <x:f>1/G408</x:f>
        <x:v>9.415577404229428</x:v>
      </x:c>
      <x:c r="I408" s="17" t="n">
        <x:v>11.171876874688303</x:v>
      </x:c>
      <x:c r="J408" s="11" t="n">
        <x:f>I408/H408</x:f>
        <x:v>1.1865312550741662</x:v>
      </x:c>
      <x:c r="K408" s="16" t="n">
        <x:f>COUNTIFS($J$8:$J$437,"&gt;"&amp;J408)+COUNTIFS($J$8:J408,J408)</x:f>
        <x:v>69</x:v>
      </x:c>
      <x:c r="L408" s="16" t="n">
        <x:f>IF(K408&lt;='Wyniki'!$B$6,1,0)</x:f>
        <x:v>0</x:v>
      </x:c>
      <x:c r="M408" s="17" t="n">
        <x:v>2.971489982032043</x:v>
      </x:c>
      <x:c r="N408" s="18" t="n">
        <x:v>40</x:v>
      </x:c>
      <x:c r="O408" s="17" t="n">
        <x:v>2.964155111879733</x:v>
      </x:c>
      <x:c r="P408" s="11" t="n">
        <x:f>1/O408</x:f>
        <x:v>0.33736426140190934</x:v>
      </x:c>
      <x:c r="Q408" s="17" t="n">
        <x:v>0.6689893651865119</x:v>
      </x:c>
      <x:c r="R408" s="11" t="n">
        <x:f>Q408/P408</x:f>
        <x:v>1.9829882466107764</x:v>
      </x:c>
      <x:c r="S408" s="16" t="n">
        <x:f>COUNTIFS($R$8:$R$437,"&gt;"&amp;R408)+COUNTIFS($R$8:R408,R408)</x:f>
        <x:v>32</x:v>
      </x:c>
      <x:c r="T408" s="16" t="n">
        <x:f>IF(S408&lt;='Wyniki'!$B$6,1,0)</x:f>
        <x:v>0</x:v>
      </x:c>
    </x:row>
    <x:row r="409" ht="22" customHeight="1">
      <x:c r="A409" s="18" t="n">
        <x:v>402</x:v>
      </x:c>
      <x:c r="B409" s="17" t="n">
        <x:v>4.0275683923800285</x:v>
      </x:c>
      <x:c r="C409" s="17" t="n">
        <x:v>0.03034240274921304</x:v>
      </x:c>
      <x:c r="D409" s="18" t="n">
        <x:v>1</x:v>
      </x:c>
      <x:c r="E409" s="17" t="n">
        <x:v>0.08818345504555851</x:v>
      </x:c>
      <x:c r="F409" s="18" t="n">
        <x:v>10</x:v>
      </x:c>
      <x:c r="G409" s="17" t="n">
        <x:v>0.07640068963220889</x:v>
      </x:c>
      <x:c r="H409" s="11" t="n">
        <x:f>1/G409</x:f>
        <x:v>13.08888708745924</x:v>
      </x:c>
      <x:c r="I409" s="17" t="n">
        <x:v>12.477033649363902</x:v>
      </x:c>
      <x:c r="J409" s="11" t="n">
        <x:f>I409/H409</x:f>
        <x:v>0.9532539753756781</x:v>
      </x:c>
      <x:c r="K409" s="16" t="n">
        <x:f>COUNTIFS($J$8:$J$437,"&gt;"&amp;J409)+COUNTIFS($J$8:J409,J409)</x:f>
        <x:v>422</x:v>
      </x:c>
      <x:c r="L409" s="16" t="n">
        <x:f>IF(K409&lt;='Wyniki'!$B$6,1,0)</x:f>
        <x:v>0</x:v>
      </x:c>
      <x:c r="M409" s="17" t="n">
        <x:v>3.0494564624083575</x:v>
      </x:c>
      <x:c r="N409" s="18" t="n">
        <x:v>40</x:v>
      </x:c>
      <x:c r="O409" s="17" t="n">
        <x:v>2.9875545376573904</x:v>
      </x:c>
      <x:c r="P409" s="11" t="n">
        <x:f>1/O409</x:f>
        <x:v>0.33472192302943626</x:v>
      </x:c>
      <x:c r="Q409" s="17" t="n">
        <x:v>0.6690554236458237</x:v>
      </x:c>
      <x:c r="R409" s="11" t="n">
        <x:f>Q409/P409</x:f>
        <x:v>1.9988395668573682</x:v>
      </x:c>
      <x:c r="S409" s="16" t="n">
        <x:f>COUNTIFS($R$8:$R$437,"&gt;"&amp;R409)+COUNTIFS($R$8:R409,R409)</x:f>
        <x:v>14</x:v>
      </x:c>
      <x:c r="T409" s="16" t="n">
        <x:f>IF(S409&lt;='Wyniki'!$B$6,1,0)</x:f>
        <x:v>1</x:v>
      </x:c>
    </x:row>
    <x:row r="410" ht="22" customHeight="1">
      <x:c r="A410" s="18" t="n">
        <x:v>403</x:v>
      </x:c>
      <x:c r="B410" s="17" t="n">
        <x:v>4.102986488928405</x:v>
      </x:c>
      <x:c r="C410" s="17" t="n">
        <x:v>0.08799837202736668</x:v>
      </x:c>
      <x:c r="D410" s="18" t="n">
        <x:v>1</x:v>
      </x:c>
      <x:c r="E410" s="17" t="n">
        <x:v>0.13171952470975573</x:v>
      </x:c>
      <x:c r="F410" s="18" t="n">
        <x:v>10</x:v>
      </x:c>
      <x:c r="G410" s="17" t="n">
        <x:v>0.11874144581072003</x:v>
      </x:c>
      <x:c r="H410" s="11" t="n">
        <x:f>1/G410</x:f>
        <x:v>8.421659288148229</x:v>
      </x:c>
      <x:c r="I410" s="17" t="n">
        <x:v>10.144234209083939</x:v>
      </x:c>
      <x:c r="J410" s="11" t="n">
        <x:f>I410/H410</x:f>
        <x:v>1.2045410366291929</x:v>
      </x:c>
      <x:c r="K410" s="16" t="n">
        <x:f>COUNTIFS($J$8:$J$437,"&gt;"&amp;J410)+COUNTIFS($J$8:J410,J410)</x:f>
        <x:v>66</x:v>
      </x:c>
      <x:c r="L410" s="16" t="n">
        <x:f>IF(K410&lt;='Wyniki'!$B$6,1,0)</x:f>
        <x:v>0</x:v>
      </x:c>
      <x:c r="M410" s="17" t="n">
        <x:v>3.120468885857666</x:v>
      </x:c>
      <x:c r="N410" s="18" t="n">
        <x:v>40</x:v>
      </x:c>
      <x:c r="O410" s="17" t="n">
        <x:v>3.0064749822746313</x:v>
      </x:c>
      <x:c r="P410" s="11" t="n">
        <x:f>1/O410</x:f>
        <x:v>0.3326154403065821</x:v>
      </x:c>
      <x:c r="Q410" s="17" t="n">
        <x:v>0.669108085713895</x:v>
      </x:c>
      <x:c r="R410" s="11" t="n">
        <x:f>Q410/P410</x:f>
        <x:v>2.0116567201364948</x:v>
      </x:c>
      <x:c r="S410" s="16" t="n">
        <x:f>COUNTIFS($R$8:$R$437,"&gt;"&amp;R410)+COUNTIFS($R$8:R410,R410)</x:f>
        <x:v>10</x:v>
      </x:c>
      <x:c r="T410" s="16" t="n">
        <x:f>IF(S410&lt;='Wyniki'!$B$6,1,0)</x:f>
        <x:v>1</x:v>
      </x:c>
    </x:row>
    <x:row r="411" ht="22" customHeight="1">
      <x:c r="A411" s="18" t="n">
        <x:v>404</x:v>
      </x:c>
      <x:c r="B411" s="17" t="n">
        <x:v>3.989421707477506</x:v>
      </x:c>
      <x:c r="C411" s="17" t="n">
        <x:v>-0.09953647030886956</x:v>
      </x:c>
      <x:c r="D411" s="18" t="n">
        <x:v>1</x:v>
      </x:c>
      <x:c r="E411" s="17" t="n">
        <x:v>0.1079780509106158</x:v>
      </x:c>
      <x:c r="F411" s="18" t="n">
        <x:v>10</x:v>
      </x:c>
      <x:c r="G411" s="17" t="n">
        <x:v>0.10210285291654837</x:v>
      </x:c>
      <x:c r="H411" s="11" t="n">
        <x:f>1/G411</x:f>
        <x:v>9.794045625907525</x:v>
      </x:c>
      <x:c r="I411" s="17" t="n">
        <x:v>11.155603728624289</x:v>
      </x:c>
      <x:c r="J411" s="11" t="n">
        <x:f>I411/H411</x:f>
        <x:v>1.1390189666990245</x:v>
      </x:c>
      <x:c r="K411" s="16" t="n">
        <x:f>COUNTIFS($J$8:$J$437,"&gt;"&amp;J411)+COUNTIFS($J$8:J411,J411)</x:f>
        <x:v>88</x:v>
      </x:c>
      <x:c r="L411" s="16" t="n">
        <x:f>IF(K411&lt;='Wyniki'!$B$6,1,0)</x:f>
        <x:v>0</x:v>
      </x:c>
      <x:c r="M411" s="17" t="n">
        <x:v>3.0298523110573248</x:v>
      </x:c>
      <x:c r="N411" s="18" t="n">
        <x:v>40</x:v>
      </x:c>
      <x:c r="O411" s="17" t="n">
        <x:v>2.9782431257214648</x:v>
      </x:c>
      <x:c r="P411" s="11" t="n">
        <x:f>1/O411</x:f>
        <x:v>0.3357684237943989</x:v>
      </x:c>
      <x:c r="Q411" s="17" t="n">
        <x:v>0.6690292611266996</x:v>
      </x:c>
      <x:c r="R411" s="11" t="n">
        <x:f>Q411/P411</x:f>
        <x:v>1.9925317978571038</x:v>
      </x:c>
      <x:c r="S411" s="16" t="n">
        <x:f>COUNTIFS($R$8:$R$437,"&gt;"&amp;R411)+COUNTIFS($R$8:R411,R411)</x:f>
        <x:v>21</x:v>
      </x:c>
      <x:c r="T411" s="16" t="n">
        <x:f>IF(S411&lt;='Wyniki'!$B$6,1,0)</x:f>
        <x:v>1</x:v>
      </x:c>
    </x:row>
    <x:row r="412" ht="22" customHeight="1">
      <x:c r="A412" s="18" t="n">
        <x:v>405</x:v>
      </x:c>
      <x:c r="B412" s="17" t="n">
        <x:v>3.974471472239128</x:v>
      </x:c>
      <x:c r="C412" s="17" t="n">
        <x:v>0.017378495584841974</x:v>
      </x:c>
      <x:c r="D412" s="18" t="n">
        <x:v>1</x:v>
      </x:c>
      <x:c r="E412" s="17" t="n">
        <x:v>0.0676849036164439</x:v>
      </x:c>
      <x:c r="F412" s="18" t="n">
        <x:v>10</x:v>
      </x:c>
      <x:c r="G412" s="17" t="n">
        <x:v>0.07661298134313897</x:v>
      </x:c>
      <x:c r="H412" s="11" t="n">
        <x:f>1/G412</x:f>
        <x:v>13.052618270017948</x:v>
      </x:c>
      <x:c r="I412" s="17" t="n">
        <x:v>12.475162426498482</x:v>
      </x:c>
      <x:c r="J412" s="11" t="n">
        <x:f>I412/H412</x:f>
        <x:v>0.9557593862339565</x:v>
      </x:c>
      <x:c r="K412" s="16" t="n">
        <x:f>COUNTIFS($J$8:$J$437,"&gt;"&amp;J412)+COUNTIFS($J$8:J412,J412)</x:f>
        <x:v>416</x:v>
      </x:c>
      <x:c r="L412" s="16" t="n">
        <x:f>IF(K412&lt;='Wyniki'!$B$6,1,0)</x:f>
        <x:v>0</x:v>
      </x:c>
      <x:c r="M412" s="17" t="n">
        <x:v>2.997881936106558</x:v>
      </x:c>
      <x:c r="N412" s="18" t="n">
        <x:v>40</x:v>
      </x:c>
      <x:c r="O412" s="17" t="n">
        <x:v>2.974451286823269</x:v>
      </x:c>
      <x:c r="P412" s="11" t="n">
        <x:f>1/O412</x:f>
        <x:v>0.33619646232902534</x:v>
      </x:c>
      <x:c r="Q412" s="17" t="n">
        <x:v>0.669018560163334</x:v>
      </x:c>
      <x:c r="R412" s="11" t="n">
        <x:f>Q412/P412</x:f>
        <x:v>1.9899631171864793</x:v>
      </x:c>
      <x:c r="S412" s="16" t="n">
        <x:f>COUNTIFS($R$8:$R$437,"&gt;"&amp;R412)+COUNTIFS($R$8:R412,R412)</x:f>
        <x:v>24</x:v>
      </x:c>
      <x:c r="T412" s="16" t="n">
        <x:f>IF(S412&lt;='Wyniki'!$B$6,1,0)</x:f>
        <x:v>1</x:v>
      </x:c>
    </x:row>
    <x:row r="413" ht="22" customHeight="1">
      <x:c r="A413" s="18" t="n">
        <x:v>406</x:v>
      </x:c>
      <x:c r="B413" s="17" t="n">
        <x:v>3.9838333403688475</x:v>
      </x:c>
      <x:c r="C413" s="17" t="n">
        <x:v>-0.046231528646212466</x:v>
      </x:c>
      <x:c r="D413" s="18" t="n">
        <x:v>1</x:v>
      </x:c>
      <x:c r="E413" s="17" t="n">
        <x:v>0.06767665576978558</x:v>
      </x:c>
      <x:c r="F413" s="18" t="n">
        <x:v>10</x:v>
      </x:c>
      <x:c r="G413" s="17" t="n">
        <x:v>0.0836117129801205</x:v>
      </x:c>
      <x:c r="H413" s="11" t="n">
        <x:f>1/G413</x:f>
        <x:v>11.9600467967659</x:v>
      </x:c>
      <x:c r="I413" s="17" t="n">
        <x:v>11.772095124342357</x:v>
      </x:c>
      <x:c r="J413" s="11" t="n">
        <x:f>I413/H413</x:f>
        <x:v>0.9842850387111891</x:v>
      </x:c>
      <x:c r="K413" s="16" t="n">
        <x:f>COUNTIFS($J$8:$J$437,"&gt;"&amp;J413)+COUNTIFS($J$8:J413,J413)</x:f>
        <x:v>367</x:v>
      </x:c>
      <x:c r="L413" s="16" t="n">
        <x:f>IF(K413&lt;='Wyniki'!$B$6,1,0)</x:f>
        <x:v>0</x:v>
      </x:c>
      <x:c r="M413" s="17" t="n">
        <x:v>3.0159608728209863</x:v>
      </x:c>
      <x:c r="N413" s="18" t="n">
        <x:v>40</x:v>
      </x:c>
      <x:c r="O413" s="17" t="n">
        <x:v>2.976669286592181</x:v>
      </x:c>
      <x:c r="P413" s="11" t="n">
        <x:f>1/O413</x:f>
        <x:v>0.335945952916</x:v>
      </x:c>
      <x:c r="Q413" s="17" t="n">
        <x:v>0.6690248228986595</x:v>
      </x:c>
      <x:c r="R413" s="11" t="n">
        <x:f>Q413/P413</x:f>
        <x:v>1.9914656422902128</x:v>
      </x:c>
      <x:c r="S413" s="16" t="n">
        <x:f>COUNTIFS($R$8:$R$437,"&gt;"&amp;R413)+COUNTIFS($R$8:R413,R413)</x:f>
        <x:v>22</x:v>
      </x:c>
      <x:c r="T413" s="16" t="n">
        <x:f>IF(S413&lt;='Wyniki'!$B$6,1,0)</x:f>
        <x:v>1</x:v>
      </x:c>
    </x:row>
    <x:row r="414" ht="22" customHeight="1">
      <x:c r="A414" s="18" t="n">
        <x:v>407</x:v>
      </x:c>
      <x:c r="B414" s="17" t="n">
        <x:v>4.020230785197592</x:v>
      </x:c>
      <x:c r="C414" s="17" t="n">
        <x:v>-0.040316619312848835</x:v>
      </x:c>
      <x:c r="D414" s="18" t="n">
        <x:v>1</x:v>
      </x:c>
      <x:c r="E414" s="17" t="n">
        <x:v>0.07363858367383493</x:v>
      </x:c>
      <x:c r="F414" s="18" t="n">
        <x:v>10</x:v>
      </x:c>
      <x:c r="G414" s="17" t="n">
        <x:v>0.08188643208308558</x:v>
      </x:c>
      <x:c r="H414" s="11" t="n">
        <x:f>1/G414</x:f>
        <x:v>12.21203530989549</x:v>
      </x:c>
      <x:c r="I414" s="17" t="n">
        <x:v>12.0325650127733</x:v>
      </x:c>
      <x:c r="J414" s="11" t="n">
        <x:f>I414/H414</x:f>
        <x:v>0.9853038177037726</x:v>
      </x:c>
      <x:c r="K414" s="16" t="n">
        <x:f>COUNTIFS($J$8:$J$437,"&gt;"&amp;J414)+COUNTIFS($J$8:J414,J414)</x:f>
        <x:v>363</x:v>
      </x:c>
      <x:c r="L414" s="16" t="n">
        <x:f>IF(K414&lt;='Wyniki'!$B$6,1,0)</x:f>
        <x:v>0</x:v>
      </x:c>
      <x:c r="M414" s="17" t="n">
        <x:v>3.0510960779409286</x:v>
      </x:c>
      <x:c r="N414" s="18" t="n">
        <x:v>40</x:v>
      </x:c>
      <x:c r="O414" s="17" t="n">
        <x:v>2.985614671279349</x:v>
      </x:c>
      <x:c r="P414" s="11" t="n">
        <x:f>1/O414</x:f>
        <x:v>0.3349394044783065</x:v>
      </x:c>
      <x:c r="Q414" s="17" t="n">
        <x:v>0.6690499866096019</x:v>
      </x:c>
      <x:c r="R414" s="11" t="n">
        <x:f>Q414/P414</x:f>
        <x:v>1.9975254558408795</x:v>
      </x:c>
      <x:c r="S414" s="16" t="n">
        <x:f>COUNTIFS($R$8:$R$437,"&gt;"&amp;R414)+COUNTIFS($R$8:R414,R414)</x:f>
        <x:v>18</x:v>
      </x:c>
      <x:c r="T414" s="16" t="n">
        <x:f>IF(S414&lt;='Wyniki'!$B$6,1,0)</x:f>
        <x:v>1</x:v>
      </x:c>
    </x:row>
    <x:row r="415" ht="22" customHeight="1">
      <x:c r="A415" s="18" t="n">
        <x:v>408</x:v>
      </x:c>
      <x:c r="B415" s="17" t="n">
        <x:v>3.94975471330197</x:v>
      </x:c>
      <x:c r="C415" s="17" t="n">
        <x:v>0.024916226744275165</x:v>
      </x:c>
      <x:c r="D415" s="18" t="n">
        <x:v>1</x:v>
      </x:c>
      <x:c r="E415" s="17" t="n">
        <x:v>0.07800264122258717</x:v>
      </x:c>
      <x:c r="F415" s="18" t="n">
        <x:v>10</x:v>
      </x:c>
      <x:c r="G415" s="17" t="n">
        <x:v>0.0807123876789689</x:v>
      </x:c>
      <x:c r="H415" s="11" t="n">
        <x:f>1/G415</x:f>
        <x:v>12.38967188007707</x:v>
      </x:c>
      <x:c r="I415" s="17" t="n">
        <x:v>12.423341274560913</x:v>
      </x:c>
      <x:c r="J415" s="11" t="n">
        <x:f>I415/H415</x:f>
        <x:v>1.002717537220496</x:v>
      </x:c>
      <x:c r="K415" s="16" t="n">
        <x:f>COUNTIFS($J$8:$J$437,"&gt;"&amp;J415)+COUNTIFS($J$8:J415,J415)</x:f>
        <x:v>298</x:v>
      </x:c>
      <x:c r="L415" s="16" t="n">
        <x:f>IF(K415&lt;='Wyniki'!$B$6,1,0)</x:f>
        <x:v>0</x:v>
      </x:c>
      <x:c r="M415" s="17" t="n">
        <x:v>2.972405594568177</x:v>
      </x:c>
      <x:c r="N415" s="18" t="n">
        <x:v>40</x:v>
      </x:c>
      <x:c r="O415" s="17" t="n">
        <x:v>2.968409565887087</x:v>
      </x:c>
      <x:c r="P415" s="11" t="n">
        <x:f>1/O415</x:f>
        <x:v>0.33688073623396964</x:v>
      </x:c>
      <x:c r="Q415" s="17" t="n">
        <x:v>0.6690014533157104</x:v>
      </x:c>
      <x:c r="R415" s="11" t="n">
        <x:f>Q415/P415</x:f>
        <x:v>1.985870313614718</x:v>
      </x:c>
      <x:c r="S415" s="16" t="n">
        <x:f>COUNTIFS($R$8:$R$437,"&gt;"&amp;R415)+COUNTIFS($R$8:R415,R415)</x:f>
        <x:v>28</x:v>
      </x:c>
      <x:c r="T415" s="16" t="n">
        <x:f>IF(S415&lt;='Wyniki'!$B$6,1,0)</x:f>
        <x:v>1</x:v>
      </x:c>
    </x:row>
    <x:row r="416" ht="22" customHeight="1">
      <x:c r="A416" s="18" t="n">
        <x:v>409</x:v>
      </x:c>
      <x:c r="B416" s="17" t="n">
        <x:v>3.9678405935896635</x:v>
      </x:c>
      <x:c r="C416" s="17" t="n">
        <x:v>0.01952835111826817</x:v>
      </x:c>
      <x:c r="D416" s="18" t="n">
        <x:v>1</x:v>
      </x:c>
      <x:c r="E416" s="17" t="n">
        <x:v>0.06767665576978558</x:v>
      </x:c>
      <x:c r="F416" s="18" t="n">
        <x:v>10</x:v>
      </x:c>
      <x:c r="G416" s="17" t="n">
        <x:v>0.0766138061278048</x:v>
      </x:c>
      <x:c r="H416" s="11" t="n">
        <x:f>1/G416</x:f>
        <x:v>13.052477752271317</x:v>
      </x:c>
      <x:c r="I416" s="17" t="n">
        <x:v>12.475176478273145</x:v>
      </x:c>
      <x:c r="J416" s="11" t="n">
        <x:f>I416/H416</x:f>
        <x:v>0.9557707521165694</x:v>
      </x:c>
      <x:c r="K416" s="16" t="n">
        <x:f>COUNTIFS($J$8:$J$437,"&gt;"&amp;J416)+COUNTIFS($J$8:J416,J416)</x:f>
        <x:v>415</x:v>
      </x:c>
      <x:c r="L416" s="16" t="n">
        <x:f>IF(K416&lt;='Wyniki'!$B$6,1,0)</x:f>
        <x:v>0</x:v>
      </x:c>
      <x:c r="M416" s="17" t="n">
        <x:v>2.9910303418406863</x:v>
      </x:c>
      <x:c r="N416" s="18" t="n">
        <x:v>40</x:v>
      </x:c>
      <x:c r="O416" s="17" t="n">
        <x:v>2.972830260709091</x:v>
      </x:c>
      <x:c r="P416" s="11" t="n">
        <x:f>1/O416</x:f>
        <x:v>0.3363797836750613</x:v>
      </x:c>
      <x:c r="Q416" s="17" t="n">
        <x:v>0.6690139771296831</x:v>
      </x:c>
      <x:c r="R416" s="11" t="n">
        <x:f>Q416/P416</x:f>
        <x:v>1.9888649960484617</x:v>
      </x:c>
      <x:c r="S416" s="16" t="n">
        <x:f>COUNTIFS($R$8:$R$437,"&gt;"&amp;R416)+COUNTIFS($R$8:R416,R416)</x:f>
        <x:v>26</x:v>
      </x:c>
      <x:c r="T416" s="16" t="n">
        <x:f>IF(S416&lt;='Wyniki'!$B$6,1,0)</x:f>
        <x:v>1</x:v>
      </x:c>
    </x:row>
    <x:row r="417" ht="22" customHeight="1">
      <x:c r="A417" s="18" t="n">
        <x:v>410</x:v>
      </x:c>
      <x:c r="B417" s="17" t="n">
        <x:v>4.02185632182817</x:v>
      </x:c>
      <x:c r="C417" s="17" t="n">
        <x:v>-0.09115432008732598</x:v>
      </x:c>
      <x:c r="D417" s="18" t="n">
        <x:v>1</x:v>
      </x:c>
      <x:c r="E417" s="17" t="n">
        <x:v>0.11842590953125463</x:v>
      </x:c>
      <x:c r="F417" s="18" t="n">
        <x:v>10</x:v>
      </x:c>
      <x:c r="G417" s="17" t="n">
        <x:v>0.0930672054623276</x:v>
      </x:c>
      <x:c r="H417" s="11" t="n">
        <x:f>1/G417</x:f>
        <x:v>10.74492346721195</x:v>
      </x:c>
      <x:c r="I417" s="17" t="n">
        <x:v>11.564546539718078</x:v>
      </x:c>
      <x:c r="J417" s="11" t="n">
        <x:f>I417/H417</x:f>
        <x:v>1.076280028890592</x:v>
      </x:c>
      <x:c r="K417" s="16" t="n">
        <x:f>COUNTIFS($J$8:$J$437,"&gt;"&amp;J417)+COUNTIFS($J$8:J417,J417)</x:f>
        <x:v>143</x:v>
      </x:c>
      <x:c r="L417" s="16" t="n">
        <x:f>IF(K417&lt;='Wyniki'!$B$6,1,0)</x:f>
        <x:v>0</x:v>
      </x:c>
      <x:c r="M417" s="17" t="n">
        <x:v>3.060482671107656</x:v>
      </x:c>
      <x:c r="N417" s="18" t="n">
        <x:v>40</x:v>
      </x:c>
      <x:c r="O417" s="17" t="n">
        <x:v>2.9861723037578054</x:v>
      </x:c>
      <x:c r="P417" s="11" t="n">
        <x:f>1/O417</x:f>
        <x:v>0.33487685849259197</x:v>
      </x:c>
      <x:c r="Q417" s="17" t="n">
        <x:v>0.6690515502592448</x:v>
      </x:c>
      <x:c r="R417" s="11" t="n">
        <x:f>Q417/P417</x:f>
        <x:v>1.9979032091703803</x:v>
      </x:c>
      <x:c r="S417" s="16" t="n">
        <x:f>COUNTIFS($R$8:$R$437,"&gt;"&amp;R417)+COUNTIFS($R$8:R417,R417)</x:f>
        <x:v>16</x:v>
      </x:c>
      <x:c r="T417" s="16" t="n">
        <x:f>IF(S417&lt;='Wyniki'!$B$6,1,0)</x:f>
        <x:v>1</x:v>
      </x:c>
    </x:row>
    <x:row r="418" ht="22" customHeight="1">
      <x:c r="A418" s="18" t="n">
        <x:v>411</x:v>
      </x:c>
      <x:c r="B418" s="17" t="n">
        <x:v>3.961500710090767</x:v>
      </x:c>
      <x:c r="C418" s="17" t="n">
        <x:v>0.11502215519331699</x:v>
      </x:c>
      <x:c r="D418" s="18" t="n">
        <x:v>1</x:v>
      </x:c>
      <x:c r="E418" s="17" t="n">
        <x:v>0.12910782565157042</x:v>
      </x:c>
      <x:c r="F418" s="18" t="n">
        <x:v>10</x:v>
      </x:c>
      <x:c r="G418" s="17" t="n">
        <x:v>0.10729688144665268</x:v>
      </x:c>
      <x:c r="H418" s="11" t="n">
        <x:f>1/G418</x:f>
        <x:v>9.319935365476521</x:v>
      </x:c>
      <x:c r="I418" s="17" t="n">
        <x:v>11.858964072227979</x:v>
      </x:c>
      <x:c r="J418" s="11" t="n">
        <x:f>I418/H418</x:f>
        <x:v>1.272429862137959</x:v>
      </x:c>
      <x:c r="K418" s="16" t="n">
        <x:f>COUNTIFS($J$8:$J$437,"&gt;"&amp;J418)+COUNTIFS($J$8:J418,J418)</x:f>
        <x:v>46</x:v>
      </x:c>
      <x:c r="L418" s="16" t="n">
        <x:f>IF(K418&lt;='Wyniki'!$B$6,1,0)</x:f>
        <x:v>0</x:v>
      </x:c>
      <x:c r="M418" s="17" t="n">
        <x:v>2.9776202108690577</x:v>
      </x:c>
      <x:c r="N418" s="18" t="n">
        <x:v>40</x:v>
      </x:c>
      <x:c r="O418" s="17" t="n">
        <x:v>2.97198887674896</x:v>
      </x:c>
      <x:c r="P418" s="11" t="n">
        <x:f>1/O418</x:f>
        <x:v>0.33647501436610144</x:v>
      </x:c>
      <x:c r="Q418" s="17" t="n">
        <x:v>0.669011596362407</x:v>
      </x:c>
      <x:c r="R418" s="11" t="n">
        <x:f>Q418/P418</x:f>
        <x:v>1.9882950228051386</x:v>
      </x:c>
      <x:c r="S418" s="16" t="n">
        <x:f>COUNTIFS($R$8:$R$437,"&gt;"&amp;R418)+COUNTIFS($R$8:R418,R418)</x:f>
        <x:v>27</x:v>
      </x:c>
      <x:c r="T418" s="16" t="n">
        <x:f>IF(S418&lt;='Wyniki'!$B$6,1,0)</x:f>
        <x:v>1</x:v>
      </x:c>
    </x:row>
    <x:row r="419" ht="22" customHeight="1">
      <x:c r="A419" s="18" t="n">
        <x:v>412</x:v>
      </x:c>
      <x:c r="B419" s="17" t="n">
        <x:v>3.907033638981257</x:v>
      </x:c>
      <x:c r="C419" s="17" t="n">
        <x:v>-0.16933235591764248</x:v>
      </x:c>
      <x:c r="D419" s="18" t="n">
        <x:v>1</x:v>
      </x:c>
      <x:c r="E419" s="17" t="n">
        <x:v>0.1862371242333861</x:v>
      </x:c>
      <x:c r="F419" s="18" t="n">
        <x:v>10</x:v>
      </x:c>
      <x:c r="G419" s="17" t="n">
        <x:v>0.1429532890160688</x:v>
      </x:c>
      <x:c r="H419" s="11" t="n">
        <x:f>1/G419</x:f>
        <x:v>6.995292006800866</x:v>
      </x:c>
      <x:c r="I419" s="17" t="n">
        <x:v>10.922096656696294</x:v>
      </x:c>
      <x:c r="J419" s="11" t="n">
        <x:f>I419/H419</x:f>
        <x:v>1.561349640026144</x:v>
      </x:c>
      <x:c r="K419" s="16" t="n">
        <x:f>COUNTIFS($J$8:$J$437,"&gt;"&amp;J419)+COUNTIFS($J$8:J419,J419)</x:f>
        <x:v>17</x:v>
      </x:c>
      <x:c r="L419" s="16" t="n">
        <x:f>IF(K419&lt;='Wyniki'!$B$6,1,0)</x:f>
        <x:v>1</x:v>
      </x:c>
      <x:c r="M419" s="17" t="n">
        <x:v>2.959859528386756</x:v>
      </x:c>
      <x:c r="N419" s="18" t="n">
        <x:v>40</x:v>
      </x:c>
      <x:c r="O419" s="17" t="n">
        <x:v>2.9586442304283636</x:v>
      </x:c>
      <x:c r="P419" s="11" t="n">
        <x:f>1/O419</x:f>
        <x:v>0.337992648698832</x:v>
      </x:c>
      <x:c r="Q419" s="17" t="n">
        <x:v>0.6708283334829349</x:v>
      </x:c>
      <x:c r="R419" s="11" t="n">
        <x:f>Q419/P419</x:f>
        <x:v>1.9847423784671596</x:v>
      </x:c>
      <x:c r="S419" s="16" t="n">
        <x:f>COUNTIFS($R$8:$R$437,"&gt;"&amp;R419)+COUNTIFS($R$8:R419,R419)</x:f>
        <x:v>30</x:v>
      </x:c>
      <x:c r="T419" s="16" t="n">
        <x:f>IF(S419&lt;='Wyniki'!$B$6,1,0)</x:f>
        <x:v>1</x:v>
      </x:c>
    </x:row>
    <x:row r="420" ht="22" customHeight="1">
      <x:c r="A420" s="18" t="n">
        <x:v>413</x:v>
      </x:c>
      <x:c r="B420" s="17" t="n">
        <x:v>3.851052387740599</x:v>
      </x:c>
      <x:c r="C420" s="17" t="n">
        <x:v>0.0023287957261335364</x:v>
      </x:c>
      <x:c r="D420" s="18" t="n">
        <x:v>1</x:v>
      </x:c>
      <x:c r="E420" s="17" t="n">
        <x:v>0.14138205856477218</x:v>
      </x:c>
      <x:c r="F420" s="18" t="n">
        <x:v>10</x:v>
      </x:c>
      <x:c r="G420" s="17" t="n">
        <x:v>0.12293484557488792</x:v>
      </x:c>
      <x:c r="H420" s="11" t="n">
        <x:f>1/G420</x:f>
        <x:v>8.134390174922638</x:v>
      </x:c>
      <x:c r="I420" s="17" t="n">
        <x:v>11.083972193761749</x:v>
      </x:c>
      <x:c r="J420" s="11" t="n">
        <x:f>I420/H420</x:f>
        <x:v>1.3626064099964523</x:v>
      </x:c>
      <x:c r="K420" s="16" t="n">
        <x:f>COUNTIFS($J$8:$J$437,"&gt;"&amp;J420)+COUNTIFS($J$8:J420,J420)</x:f>
        <x:v>33</x:v>
      </x:c>
      <x:c r="L420" s="16" t="n">
        <x:f>IF(K420&lt;='Wyniki'!$B$6,1,0)</x:f>
        <x:v>0</x:v>
      </x:c>
      <x:c r="M420" s="17" t="n">
        <x:v>2.87757727739969</x:v>
      </x:c>
      <x:c r="N420" s="18" t="n">
        <x:v>40</x:v>
      </x:c>
      <x:c r="O420" s="17" t="n">
        <x:v>2.9440799517535554</x:v>
      </x:c>
      <x:c r="P420" s="11" t="n">
        <x:f>1/O420</x:f>
        <x:v>0.33966468859121135</x:v>
      </x:c>
      <x:c r="Q420" s="17" t="n">
        <x:v>0.6689318545067794</x:v>
      </x:c>
      <x:c r="R420" s="11" t="n">
        <x:f>Q420/P420</x:f>
        <x:v>1.9693888619427355</x:v>
      </x:c>
      <x:c r="S420" s="16" t="n">
        <x:f>COUNTIFS($R$8:$R$437,"&gt;"&amp;R420)+COUNTIFS($R$8:R420,R420)</x:f>
        <x:v>34</x:v>
      </x:c>
      <x:c r="T420" s="16" t="n">
        <x:f>IF(S420&lt;='Wyniki'!$B$6,1,0)</x:f>
        <x:v>0</x:v>
      </x:c>
    </x:row>
    <x:row r="421" ht="22" customHeight="1">
      <x:c r="A421" s="18" t="n">
        <x:v>414</x:v>
      </x:c>
      <x:c r="B421" s="17" t="n">
        <x:v>4.0024733822426155</x:v>
      </x:c>
      <x:c r="C421" s="17" t="n">
        <x:v>-0.009408868434009674</x:v>
      </x:c>
      <x:c r="D421" s="18" t="n">
        <x:v>1</x:v>
      </x:c>
      <x:c r="E421" s="17" t="n">
        <x:v>0.0629084272086952</x:v>
      </x:c>
      <x:c r="F421" s="18" t="n">
        <x:v>10</x:v>
      </x:c>
      <x:c r="G421" s="17" t="n">
        <x:v>0.07432372942682433</x:v>
      </x:c>
      <x:c r="H421" s="11" t="n">
        <x:f>1/G421</x:f>
        <x:v>13.454653146604453</x:v>
      </x:c>
      <x:c r="I421" s="17" t="n">
        <x:v>12.675420741454216</x:v>
      </x:c>
      <x:c r="J421" s="11" t="n">
        <x:f>I421/H421</x:f>
        <x:v>0.9420845415590002</x:v>
      </x:c>
      <x:c r="K421" s="16" t="n">
        <x:f>COUNTIFS($J$8:$J$437,"&gt;"&amp;J421)+COUNTIFS($J$8:J421,J421)</x:f>
        <x:v>428</x:v>
      </x:c>
      <x:c r="L421" s="16" t="n">
        <x:f>IF(K421&lt;='Wyniki'!$B$6,1,0)</x:f>
        <x:v>0</x:v>
      </x:c>
      <x:c r="M421" s="17" t="n">
        <x:v>3.0291757398741894</x:v>
      </x:c>
      <x:c r="N421" s="18" t="n">
        <x:v>40</x:v>
      </x:c>
      <x:c r="O421" s="17" t="n">
        <x:v>2.981258985685143</x:v>
      </x:c>
      <x:c r="P421" s="11" t="n">
        <x:f>1/O421</x:f>
        <x:v>0.3354287583875184</x:v>
      </x:c>
      <x:c r="Q421" s="17" t="n">
        <x:v>0.6690377527618716</x:v>
      </x:c>
      <x:c r="R421" s="11" t="n">
        <x:f>Q421/P421</x:f>
        <x:v>1.9945748121839249</x:v>
      </x:c>
      <x:c r="S421" s="16" t="n">
        <x:f>COUNTIFS($R$8:$R$437,"&gt;"&amp;R421)+COUNTIFS($R$8:R421,R421)</x:f>
        <x:v>20</x:v>
      </x:c>
      <x:c r="T421" s="16" t="n">
        <x:f>IF(S421&lt;='Wyniki'!$B$6,1,0)</x:f>
        <x:v>1</x:v>
      </x:c>
    </x:row>
    <x:row r="422" ht="22" customHeight="1">
      <x:c r="A422" s="18" t="n">
        <x:v>415</x:v>
      </x:c>
      <x:c r="B422" s="17" t="n">
        <x:v>4.09713518631428</x:v>
      </x:c>
      <x:c r="C422" s="17" t="n">
        <x:v>-0.21382675464823503</x:v>
      </x:c>
      <x:c r="D422" s="18" t="n">
        <x:v>1</x:v>
      </x:c>
      <x:c r="E422" s="17" t="n">
        <x:v>0.21540218519450996</x:v>
      </x:c>
      <x:c r="F422" s="18" t="n">
        <x:v>10</x:v>
      </x:c>
      <x:c r="G422" s="17" t="n">
        <x:v>0.19282613333325088</x:v>
      </x:c>
      <x:c r="H422" s="11" t="n">
        <x:f>1/G422</x:f>
        <x:v>5.18601904583003</x:v>
      </x:c>
      <x:c r="I422" s="17" t="n">
        <x:v>9.819946999603152</x:v>
      </x:c>
      <x:c r="J422" s="11" t="n">
        <x:f>I422/H422</x:f>
        <x:v>1.8935424094709346</x:v>
      </x:c>
      <x:c r="K422" s="16" t="n">
        <x:f>COUNTIFS($J$8:$J$437,"&gt;"&amp;J422)+COUNTIFS($J$8:J422,J422)</x:f>
        <x:v>4</x:v>
      </x:c>
      <x:c r="L422" s="16" t="n">
        <x:f>IF(K422&lt;='Wyniki'!$B$6,1,0)</x:f>
        <x:v>1</x:v>
      </x:c>
      <x:c r="M422" s="17" t="n">
        <x:v>3.151221462982338</x:v>
      </x:c>
      <x:c r="N422" s="18" t="n">
        <x:v>40</x:v>
      </x:c>
      <x:c r="O422" s="17" t="n">
        <x:v>3.0059591559847654</x:v>
      </x:c>
      <x:c r="P422" s="11" t="n">
        <x:f>1/O422</x:f>
        <x:v>0.33267251752540716</x:v>
      </x:c>
      <x:c r="Q422" s="17" t="n">
        <x:v>0.6709613367622705</x:v>
      </x:c>
      <x:c r="R422" s="11" t="n">
        <x:f>Q422/P422</x:f>
        <x:v>2.016882373552325</x:v>
      </x:c>
      <x:c r="S422" s="16" t="n">
        <x:f>COUNTIFS($R$8:$R$437,"&gt;"&amp;R422)+COUNTIFS($R$8:R422,R422)</x:f>
        <x:v>9</x:v>
      </x:c>
      <x:c r="T422" s="16" t="n">
        <x:f>IF(S422&lt;='Wyniki'!$B$6,1,0)</x:f>
        <x:v>1</x:v>
      </x:c>
    </x:row>
    <x:row r="423" ht="22" customHeight="1">
      <x:c r="A423" s="18" t="n">
        <x:v>416</x:v>
      </x:c>
      <x:c r="B423" s="17" t="n">
        <x:v>4.031674709954466</x:v>
      </x:c>
      <x:c r="C423" s="17" t="n">
        <x:v>0.12491505614428587</x:v>
      </x:c>
      <x:c r="D423" s="18" t="n">
        <x:v>1</x:v>
      </x:c>
      <x:c r="E423" s="17" t="n">
        <x:v>0.1241517424026252</x:v>
      </x:c>
      <x:c r="F423" s="18" t="n">
        <x:v>10</x:v>
      </x:c>
      <x:c r="G423" s="17" t="n">
        <x:v>0.11379994472202704</x:v>
      </x:c>
      <x:c r="H423" s="11" t="n">
        <x:f>1/G423</x:f>
        <x:v>8.787350489867512</x:v>
      </x:c>
      <x:c r="I423" s="17" t="n">
        <x:v>11.515421300595996</x:v>
      </x:c>
      <x:c r="J423" s="11" t="n">
        <x:f>I423/H423</x:f>
        <x:v>1.310454307458677</x:v>
      </x:c>
      <x:c r="K423" s="16" t="n">
        <x:f>COUNTIFS($J$8:$J$437,"&gt;"&amp;J423)+COUNTIFS($J$8:J423,J423)</x:f>
        <x:v>41</x:v>
      </x:c>
      <x:c r="L423" s="16" t="n">
        <x:f>IF(K423&lt;='Wyniki'!$B$6,1,0)</x:f>
        <x:v>0</x:v>
      </x:c>
      <x:c r="M423" s="17" t="n">
        <x:v>3.047151391006546</x:v>
      </x:c>
      <x:c r="N423" s="18" t="n">
        <x:v>40</x:v>
      </x:c>
      <x:c r="O423" s="17" t="n">
        <x:v>2.9893348966270756</x:v>
      </x:c>
      <x:c r="P423" s="11" t="n">
        <x:f>1/O423</x:f>
        <x:v>0.3345225726058058</x:v>
      </x:c>
      <x:c r="Q423" s="17" t="n">
        <x:v>0.6690604074064145</x:v>
      </x:c>
      <x:c r="R423" s="11" t="n">
        <x:f>Q423/P423</x:f>
        <x:v>2.0000456238115234</x:v>
      </x:c>
      <x:c r="S423" s="16" t="n">
        <x:f>COUNTIFS($R$8:$R$437,"&gt;"&amp;R423)+COUNTIFS($R$8:R423,R423)</x:f>
        <x:v>13</x:v>
      </x:c>
      <x:c r="T423" s="16" t="n">
        <x:f>IF(S423&lt;='Wyniki'!$B$6,1,0)</x:f>
        <x:v>1</x:v>
      </x:c>
    </x:row>
    <x:row r="424" ht="22" customHeight="1">
      <x:c r="A424" s="18" t="n">
        <x:v>417</x:v>
      </x:c>
      <x:c r="B424" s="17" t="n">
        <x:v>3.909777538808663</x:v>
      </x:c>
      <x:c r="C424" s="17" t="n">
        <x:v>-0.03038452094319161</x:v>
      </x:c>
      <x:c r="D424" s="18" t="n">
        <x:v>1</x:v>
      </x:c>
      <x:c r="E424" s="17" t="n">
        <x:v>0.10547599586647376</x:v>
      </x:c>
      <x:c r="F424" s="18" t="n">
        <x:v>10</x:v>
      </x:c>
      <x:c r="G424" s="17" t="n">
        <x:v>0.09277394084323255</x:v>
      </x:c>
      <x:c r="H424" s="11" t="n">
        <x:f>1/G424</x:f>
        <x:v>10.77888888744932</x:v>
      </x:c>
      <x:c r="I424" s="17" t="n">
        <x:v>11.397988680477251</x:v>
      </x:c>
      <x:c r="J424" s="11" t="n">
        <x:f>I424/H424</x:f>
        <x:v>1.057436327574431</x:v>
      </x:c>
      <x:c r="K424" s="16" t="n">
        <x:f>COUNTIFS($J$8:$J$437,"&gt;"&amp;J424)+COUNTIFS($J$8:J424,J424)</x:f>
        <x:v>164</x:v>
      </x:c>
      <x:c r="L424" s="16" t="n">
        <x:f>IF(K424&lt;='Wyniki'!$B$6,1,0)</x:f>
        <x:v>0</x:v>
      </x:c>
      <x:c r="M424" s="17" t="n">
        <x:v>2.9403761444141834</x:v>
      </x:c>
      <x:c r="N424" s="18" t="n">
        <x:v>40</x:v>
      </x:c>
      <x:c r="O424" s="17" t="n">
        <x:v>2.958454588568929</x:v>
      </x:c>
      <x:c r="P424" s="11" t="n">
        <x:f>1/O424</x:f>
        <x:v>0.33801431458974074</x:v>
      </x:c>
      <x:c r="Q424" s="17" t="n">
        <x:v>0.668973113856816</x:v>
      </x:c>
      <x:c r="R424" s="11" t="n">
        <x:f>Q424/P424</x:f>
        <x:v>1.979126578318942</x:v>
      </x:c>
      <x:c r="S424" s="16" t="n">
        <x:f>COUNTIFS($R$8:$R$437,"&gt;"&amp;R424)+COUNTIFS($R$8:R424,R424)</x:f>
        <x:v>33</x:v>
      </x:c>
      <x:c r="T424" s="16" t="n">
        <x:f>IF(S424&lt;='Wyniki'!$B$6,1,0)</x:f>
        <x:v>0</x:v>
      </x:c>
    </x:row>
    <x:row r="425" ht="22" customHeight="1">
      <x:c r="A425" s="18" t="n">
        <x:v>418</x:v>
      </x:c>
      <x:c r="B425" s="17" t="n">
        <x:v>3.9397686466217103</x:v>
      </x:c>
      <x:c r="C425" s="17" t="n">
        <x:v>-0.0715476836862023</x:v>
      </x:c>
      <x:c r="D425" s="18" t="n">
        <x:v>1</x:v>
      </x:c>
      <x:c r="E425" s="17" t="n">
        <x:v>0.09545758987937425</x:v>
      </x:c>
      <x:c r="F425" s="18" t="n">
        <x:v>10</x:v>
      </x:c>
      <x:c r="G425" s="17" t="n">
        <x:v>0.09420719756177429</x:v>
      </x:c>
      <x:c r="H425" s="11" t="n">
        <x:f>1/G425</x:f>
        <x:v>10.6149001974533</x:v>
      </x:c>
      <x:c r="I425" s="17" t="n">
        <x:v>11.657677221687626</x:v>
      </x:c>
      <x:c r="J425" s="11" t="n">
        <x:f>I425/H425</x:f>
        <x:v>1.0982371011349221</x:v>
      </x:c>
      <x:c r="K425" s="16" t="n">
        <x:f>COUNTIFS($J$8:$J$437,"&gt;"&amp;J425)+COUNTIFS($J$8:J425,J425)</x:f>
        <x:v>119</x:v>
      </x:c>
      <x:c r="L425" s="16" t="n">
        <x:f>IF(K425&lt;='Wyniki'!$B$6,1,0)</x:f>
        <x:v>0</x:v>
      </x:c>
      <x:c r="M425" s="17" t="n">
        <x:v>2.976314817197389</x:v>
      </x:c>
      <x:c r="N425" s="18" t="n">
        <x:v>40</x:v>
      </x:c>
      <x:c r="O425" s="17" t="n">
        <x:v>2.9659010355282076</x:v>
      </x:c>
      <x:c r="P425" s="11" t="n">
        <x:f>1/O425</x:f>
        <x:v>0.3371656666965985</x:v>
      </x:c>
      <x:c r="Q425" s="17" t="n">
        <x:v>0.6689943300541447</x:v>
      </x:c>
      <x:c r="R425" s="11" t="n">
        <x:f>Q425/P425</x:f>
        <x:v>1.9841709762700872</x:v>
      </x:c>
      <x:c r="S425" s="16" t="n">
        <x:f>COUNTIFS($R$8:$R$437,"&gt;"&amp;R425)+COUNTIFS($R$8:R425,R425)</x:f>
        <x:v>31</x:v>
      </x:c>
      <x:c r="T425" s="16" t="n">
        <x:f>IF(S425&lt;='Wyniki'!$B$6,1,0)</x:f>
        <x:v>0</x:v>
      </x:c>
    </x:row>
    <x:row r="426" ht="22" customHeight="1">
      <x:c r="A426" s="18" t="n">
        <x:v>419</x:v>
      </x:c>
      <x:c r="B426" s="17" t="n">
        <x:v>3.9738990395981566</x:v>
      </x:c>
      <x:c r="C426" s="17" t="n">
        <x:v>0.11419882269476038</x:v>
      </x:c>
      <x:c r="D426" s="18" t="n">
        <x:v>1</x:v>
      </x:c>
      <x:c r="E426" s="17" t="n">
        <x:v>0.1229975306072809</x:v>
      </x:c>
      <x:c r="F426" s="18" t="n">
        <x:v>10</x:v>
      </x:c>
      <x:c r="G426" s="17" t="n">
        <x:v>0.10499510872760029</x:v>
      </x:c>
      <x:c r="H426" s="11" t="n">
        <x:f>1/G426</x:f>
        <x:v>9.524253197302778</x:v>
      </x:c>
      <x:c r="I426" s="17" t="n">
        <x:v>11.838532289045352</x:v>
      </x:c>
      <x:c r="J426" s="11" t="n">
        <x:f>I426/H426</x:f>
        <x:v>1.2429879848635235</x:v>
      </x:c>
      <x:c r="K426" s="16" t="n">
        <x:f>COUNTIFS($J$8:$J$437,"&gt;"&amp;J426)+COUNTIFS($J$8:J426,J426)</x:f>
        <x:v>53</x:v>
      </x:c>
      <x:c r="L426" s="16" t="n">
        <x:f>IF(K426&lt;='Wyniki'!$B$6,1,0)</x:f>
        <x:v>0</x:v>
      </x:c>
      <x:c r="M426" s="17" t="n">
        <x:v>2.9900452844164724</x:v>
      </x:c>
      <x:c r="N426" s="18" t="n">
        <x:v>40</x:v>
      </x:c>
      <x:c r="O426" s="17" t="n">
        <x:v>2.9750224015594933</x:v>
      </x:c>
      <x:c r="P426" s="11" t="n">
        <x:f>1/O426</x:f>
        <x:v>0.33613192272965897</x:v>
      </x:c>
      <x:c r="Q426" s="17" t="n">
        <x:v>0.6690201736533181</x:v>
      </x:c>
      <x:c r="R426" s="11" t="n">
        <x:f>Q426/P426</x:f>
        <x:v>1.9903500037138435</x:v>
      </x:c>
      <x:c r="S426" s="16" t="n">
        <x:f>COUNTIFS($R$8:$R$437,"&gt;"&amp;R426)+COUNTIFS($R$8:R426,R426)</x:f>
        <x:v>23</x:v>
      </x:c>
      <x:c r="T426" s="16" t="n">
        <x:f>IF(S426&lt;='Wyniki'!$B$6,1,0)</x:f>
        <x:v>1</x:v>
      </x:c>
    </x:row>
    <x:row r="427" ht="22" customHeight="1">
      <x:c r="A427" s="18" t="n">
        <x:v>420</x:v>
      </x:c>
      <x:c r="B427" s="17" t="n">
        <x:v>4.146990934039001</x:v>
      </x:c>
      <x:c r="C427" s="17" t="n">
        <x:v>-0.02687513800321182</x:v>
      </x:c>
      <x:c r="D427" s="18" t="n">
        <x:v>1</x:v>
      </x:c>
      <x:c r="E427" s="17" t="n">
        <x:v>0.1433102692306039</x:v>
      </x:c>
      <x:c r="F427" s="18" t="n">
        <x:v>10</x:v>
      </x:c>
      <x:c r="G427" s="17" t="n">
        <x:v>0.14134706127677676</x:v>
      </x:c>
      <x:c r="H427" s="11" t="n">
        <x:f>1/G427</x:f>
        <x:v>7.074784512441076</x:v>
      </x:c>
      <x:c r="I427" s="17" t="n">
        <x:v>9.94788002894401</x:v>
      </x:c>
      <x:c r="J427" s="11" t="n">
        <x:f>I427/H427</x:f>
        <x:v>1.4061036080251725</x:v>
      </x:c>
      <x:c r="K427" s="16" t="n">
        <x:f>COUNTIFS($J$8:$J$437,"&gt;"&amp;J427)+COUNTIFS($J$8:J427,J427)</x:f>
        <x:v>28</x:v>
      </x:c>
      <x:c r="L427" s="16" t="n">
        <x:f>IF(K427&lt;='Wyniki'!$B$6,1,0)</x:f>
        <x:v>1</x:v>
      </x:c>
      <x:c r="M427" s="17" t="n">
        <x:v>3.1747273081819065</x:v>
      </x:c>
      <x:c r="N427" s="18" t="n">
        <x:v>40</x:v>
      </x:c>
      <x:c r="O427" s="17" t="n">
        <x:v>3.0168159078326604</x:v>
      </x:c>
      <x:c r="P427" s="11" t="n">
        <x:f>1/O427</x:f>
        <x:v>0.33147531389093593</x:v>
      </x:c>
      <x:c r="Q427" s="17" t="n">
        <x:v>0.6691365888742862</x:v>
      </x:c>
      <x:c r="R427" s="11" t="n">
        <x:f>Q427/P427</x:f>
        <x:v>2.0186619058288295</x:v>
      </x:c>
      <x:c r="S427" s="16" t="n">
        <x:f>COUNTIFS($R$8:$R$437,"&gt;"&amp;R427)+COUNTIFS($R$8:R427,R427)</x:f>
        <x:v>6</x:v>
      </x:c>
      <x:c r="T427" s="16" t="n">
        <x:f>IF(S427&lt;='Wyniki'!$B$6,1,0)</x:f>
        <x:v>1</x:v>
      </x:c>
    </x:row>
    <x:row r="428" ht="22" customHeight="1">
      <x:c r="A428" s="18" t="n">
        <x:v>421</x:v>
      </x:c>
      <x:c r="B428" s="17" t="n">
        <x:v>4.1524048171251575</x:v>
      </x:c>
      <x:c r="C428" s="17" t="n">
        <x:v>0.0028461181587699893</x:v>
      </x:c>
      <x:c r="D428" s="18" t="n">
        <x:v>1</x:v>
      </x:c>
      <x:c r="E428" s="17" t="n">
        <x:v>0.1443532813118488</x:v>
      </x:c>
      <x:c r="F428" s="18" t="n">
        <x:v>10</x:v>
      </x:c>
      <x:c r="G428" s="17" t="n">
        <x:v>0.14200764607960645</x:v>
      </x:c>
      <x:c r="H428" s="11" t="n">
        <x:f>1/G428</x:f>
        <x:v>7.041874346958905</x:v>
      </x:c>
      <x:c r="I428" s="17" t="n">
        <x:v>10.185567407516958</x:v>
      </x:c>
      <x:c r="J428" s="11" t="n">
        <x:f>I428/H428</x:f>
        <x:v>1.4464284515266428</x:v>
      </x:c>
      <x:c r="K428" s="16" t="n">
        <x:f>COUNTIFS($J$8:$J$437,"&gt;"&amp;J428)+COUNTIFS($J$8:J428,J428)</x:f>
        <x:v>23</x:v>
      </x:c>
      <x:c r="L428" s="16" t="n">
        <x:f>IF(K428&lt;='Wyniki'!$B$6,1,0)</x:f>
        <x:v>1</x:v>
      </x:c>
      <x:c r="M428" s="17" t="n">
        <x:v>3.1762206045850307</x:v>
      </x:c>
      <x:c r="N428" s="18" t="n">
        <x:v>40</x:v>
      </x:c>
      <x:c r="O428" s="17" t="n">
        <x:v>3.0181911332190805</x:v>
      </x:c>
      <x:c r="P428" s="11" t="n">
        <x:f>1/O428</x:f>
        <x:v>0.33132427863620434</x:v>
      </x:c>
      <x:c r="Q428" s="17" t="n">
        <x:v>0.6691403647556545</x:v>
      </x:c>
      <x:c r="R428" s="11" t="n">
        <x:f>Q428/P428</x:f>
        <x:v>2.0195935157844978</x:v>
      </x:c>
      <x:c r="S428" s="16" t="n">
        <x:f>COUNTIFS($R$8:$R$437,"&gt;"&amp;R428)+COUNTIFS($R$8:R428,R428)</x:f>
        <x:v>5</x:v>
      </x:c>
      <x:c r="T428" s="16" t="n">
        <x:f>IF(S428&lt;='Wyniki'!$B$6,1,0)</x:f>
        <x:v>1</x:v>
      </x:c>
    </x:row>
    <x:row r="429" ht="22" customHeight="1">
      <x:c r="A429" s="18" t="n">
        <x:v>422</x:v>
      </x:c>
      <x:c r="B429" s="17" t="n">
        <x:v>4.140295282136086</x:v>
      </x:c>
      <x:c r="C429" s="17" t="n">
        <x:v>-0.0074638919722793415</x:v>
      </x:c>
      <x:c r="D429" s="18" t="n">
        <x:v>1</x:v>
      </x:c>
      <x:c r="E429" s="17" t="n">
        <x:v>0.13678193901187533</x:v>
      </x:c>
      <x:c r="F429" s="18" t="n">
        <x:v>10</x:v>
      </x:c>
      <x:c r="G429" s="17" t="n">
        <x:v>0.1374313696826579</x:v>
      </x:c>
      <x:c r="H429" s="11" t="n">
        <x:f>1/G429</x:f>
        <x:v>7.276359118803044</x:v>
      </x:c>
      <x:c r="I429" s="17" t="n">
        <x:v>10.162118930332543</x:v>
      </x:c>
      <x:c r="J429" s="11" t="n">
        <x:f>I429/H429</x:f>
        <x:v>1.3965939234736677</x:v>
      </x:c>
      <x:c r="K429" s="16" t="n">
        <x:f>COUNTIFS($J$8:$J$437,"&gt;"&amp;J429)+COUNTIFS($J$8:J429,J429)</x:f>
        <x:v>29</x:v>
      </x:c>
      <x:c r="L429" s="16" t="n">
        <x:f>IF(K429&lt;='Wyniki'!$B$6,1,0)</x:f>
        <x:v>1</x:v>
      </x:c>
      <x:c r="M429" s="17" t="n">
        <x:v>3.1655242561666</x:v>
      </x:c>
      <x:c r="N429" s="18" t="n">
        <x:v>40</x:v>
      </x:c>
      <x:c r="O429" s="17" t="n">
        <x:v>3.015185561644755</x:v>
      </x:c>
      <x:c r="P429" s="11" t="n">
        <x:f>1/O429</x:f>
        <x:v>0.3316545464798888</x:v>
      </x:c>
      <x:c r="Q429" s="17" t="n">
        <x:v>0.6691321080595624</x:v>
      </x:c>
      <x:c r="R429" s="11" t="n">
        <x:f>Q429/P429</x:f>
        <x:v>2.0175574710541104</x:v>
      </x:c>
      <x:c r="S429" s="16" t="n">
        <x:f>COUNTIFS($R$8:$R$437,"&gt;"&amp;R429)+COUNTIFS($R$8:R429,R429)</x:f>
        <x:v>8</x:v>
      </x:c>
      <x:c r="T429" s="16" t="n">
        <x:f>IF(S429&lt;='Wyniki'!$B$6,1,0)</x:f>
        <x:v>1</x:v>
      </x:c>
    </x:row>
    <x:row r="430" ht="22" customHeight="1">
      <x:c r="A430" s="18" t="n">
        <x:v>423</x:v>
      </x:c>
      <x:c r="B430" s="17" t="n">
        <x:v>4.0104846260836915</x:v>
      </x:c>
      <x:c r="C430" s="17" t="n">
        <x:v>0.029237957811426765</x:v>
      </x:c>
      <x:c r="D430" s="18" t="n">
        <x:v>1</x:v>
      </x:c>
      <x:c r="E430" s="17" t="n">
        <x:v>0.0789673399432379</x:v>
      </x:c>
      <x:c r="F430" s="18" t="n">
        <x:v>10</x:v>
      </x:c>
      <x:c r="G430" s="17" t="n">
        <x:v>0.07640068963220889</x:v>
      </x:c>
      <x:c r="H430" s="11" t="n">
        <x:f>1/G430</x:f>
        <x:v>13.08888708745924</x:v>
      </x:c>
      <x:c r="I430" s="17" t="n">
        <x:v>12.492179525339605</x:v>
      </x:c>
      <x:c r="J430" s="11" t="n">
        <x:f>I430/H430</x:f>
        <x:v>0.9544111307453058</x:v>
      </x:c>
      <x:c r="K430" s="16" t="n">
        <x:f>COUNTIFS($J$8:$J$437,"&gt;"&amp;J430)+COUNTIFS($J$8:J430,J430)</x:f>
        <x:v>419</x:v>
      </x:c>
      <x:c r="L430" s="16" t="n">
        <x:f>IF(K430&lt;='Wyniki'!$B$6,1,0)</x:f>
        <x:v>0</x:v>
      </x:c>
      <x:c r="M430" s="17" t="n">
        <x:v>3.032524788242282</x:v>
      </x:c>
      <x:c r="N430" s="18" t="n">
        <x:v>40</x:v>
      </x:c>
      <x:c r="O430" s="17" t="n">
        <x:v>2.983350111857587</x:v>
      </x:c>
      <x:c r="P430" s="11" t="n">
        <x:f>1/O430</x:f>
        <x:v>0.33519364556825304</x:v>
      </x:c>
      <x:c r="Q430" s="17" t="n">
        <x:v>0.6690436305823532</x:v>
      </x:c>
      <x:c r="R430" s="11" t="n">
        <x:f>Q430/P430</x:f>
        <x:v>1.9959913901354693</x:v>
      </x:c>
      <x:c r="S430" s="16" t="n">
        <x:f>COUNTIFS($R$8:$R$437,"&gt;"&amp;R430)+COUNTIFS($R$8:R430,R430)</x:f>
        <x:v>19</x:v>
      </x:c>
      <x:c r="T430" s="16" t="n">
        <x:f>IF(S430&lt;='Wyniki'!$B$6,1,0)</x:f>
        <x:v>1</x:v>
      </x:c>
    </x:row>
    <x:row r="431" ht="22" customHeight="1">
      <x:c r="A431" s="18" t="n">
        <x:v>424</x:v>
      </x:c>
      <x:c r="B431" s="17" t="n">
        <x:v>4.254308294349403</x:v>
      </x:c>
      <x:c r="C431" s="17" t="n">
        <x:v>0.06810284598758312</x:v>
      </x:c>
      <x:c r="D431" s="18" t="n">
        <x:v>1</x:v>
      </x:c>
      <x:c r="E431" s="17" t="n">
        <x:v>0.24690172283621814</x:v>
      </x:c>
      <x:c r="F431" s="18" t="n">
        <x:v>10</x:v>
      </x:c>
      <x:c r="G431" s="17" t="n">
        <x:v>0.19481346474750133</x:v>
      </x:c>
      <x:c r="H431" s="11" t="n">
        <x:f>1/G431</x:f>
        <x:v>5.133115420415652</x:v>
      </x:c>
      <x:c r="I431" s="17" t="n">
        <x:v>10.033974818168485</x:v>
      </x:c>
      <x:c r="J431" s="11" t="n">
        <x:f>I431/H431</x:f>
        <x:v>1.954753399516582</x:v>
      </x:c>
      <x:c r="K431" s="16" t="n">
        <x:f>COUNTIFS($J$8:$J$437,"&gt;"&amp;J431)+COUNTIFS($J$8:J431,J431)</x:f>
        <x:v>2</x:v>
      </x:c>
      <x:c r="L431" s="16" t="n">
        <x:f>IF(K431&lt;='Wyniki'!$B$6,1,0)</x:f>
        <x:v>1</x:v>
      </x:c>
      <x:c r="M431" s="17" t="n">
        <x:v>3.2727578166377373</x:v>
      </x:c>
      <x:c r="N431" s="18" t="n">
        <x:v>40</x:v>
      </x:c>
      <x:c r="O431" s="17" t="n">
        <x:v>3.0435710903452002</x:v>
      </x:c>
      <x:c r="P431" s="11" t="n">
        <x:f>1/O431</x:f>
        <x:v>0.3285614070826847</x:v>
      </x:c>
      <x:c r="Q431" s="17" t="n">
        <x:v>0.6692094365444924</x:v>
      </x:c>
      <x:c r="R431" s="11" t="n">
        <x:f>Q431/P431</x:f>
        <x:v>2.036786494453018</x:v>
      </x:c>
      <x:c r="S431" s="16" t="n">
        <x:f>COUNTIFS($R$8:$R$437,"&gt;"&amp;R431)+COUNTIFS($R$8:R431,R431)</x:f>
        <x:v>3</x:v>
      </x:c>
      <x:c r="T431" s="16" t="n">
        <x:f>IF(S431&lt;='Wyniki'!$B$6,1,0)</x:f>
        <x:v>1</x:v>
      </x:c>
    </x:row>
    <x:row r="432" ht="22" customHeight="1">
      <x:c r="A432" s="18" t="n">
        <x:v>425</x:v>
      </x:c>
      <x:c r="B432" s="17" t="n">
        <x:v>3.943418837603883</x:v>
      </x:c>
      <x:c r="C432" s="17" t="n">
        <x:v>0.07751982962206863</x:v>
      </x:c>
      <x:c r="D432" s="18" t="n">
        <x:v>1</x:v>
      </x:c>
      <x:c r="E432" s="17" t="n">
        <x:v>0.10130757924473004</x:v>
      </x:c>
      <x:c r="F432" s="18" t="n">
        <x:v>10</x:v>
      </x:c>
      <x:c r="G432" s="17" t="n">
        <x:v>0.10196364354321293</x:v>
      </x:c>
      <x:c r="H432" s="11" t="n">
        <x:f>1/G432</x:f>
        <x:v>9.807417283751661</x:v>
      </x:c>
      <x:c r="I432" s="17" t="n">
        <x:v>11.249056219977403</x:v>
      </x:c>
      <x:c r="J432" s="11" t="n">
        <x:f>I432/H432</x:f>
        <x:v>1.1469947586113383</x:v>
      </x:c>
      <x:c r="K432" s="16" t="n">
        <x:f>COUNTIFS($J$8:$J$437,"&gt;"&amp;J432)+COUNTIFS($J$8:J432,J432)</x:f>
        <x:v>85</x:v>
      </x:c>
      <x:c r="L432" s="16" t="n">
        <x:f>IF(K432&lt;='Wyniki'!$B$6,1,0)</x:f>
        <x:v>0</x:v>
      </x:c>
      <x:c r="M432" s="17" t="n">
        <x:v>2.9619450465413646</x:v>
      </x:c>
      <x:c r="N432" s="18" t="n">
        <x:v>40</x:v>
      </x:c>
      <x:c r="O432" s="17" t="n">
        <x:v>2.967174975412092</x:v>
      </x:c>
      <x:c r="P432" s="11" t="n">
        <x:f>1/O432</x:f>
        <x:v>0.3370209065143239</x:v>
      </x:c>
      <x:c r="Q432" s="17" t="n">
        <x:v>0.6689979490587015</x:v>
      </x:c>
      <x:c r="R432" s="11" t="n">
        <x:f>Q432/P432</x:f>
        <x:v>1.9850339730489923</x:v>
      </x:c>
      <x:c r="S432" s="16" t="n">
        <x:f>COUNTIFS($R$8:$R$437,"&gt;"&amp;R432)+COUNTIFS($R$8:R432,R432)</x:f>
        <x:v>29</x:v>
      </x:c>
      <x:c r="T432" s="16" t="n">
        <x:f>IF(S432&lt;='Wyniki'!$B$6,1,0)</x:f>
        <x:v>1</x:v>
      </x:c>
    </x:row>
    <x:row r="433" ht="22" customHeight="1">
      <x:c r="A433" s="18" t="n">
        <x:v>426</x:v>
      </x:c>
      <x:c r="B433" s="17" t="n">
        <x:v>3.971053397033253</x:v>
      </x:c>
      <x:c r="C433" s="17" t="n">
        <x:v>-0.039180014632096735</x:v>
      </x:c>
      <x:c r="D433" s="18" t="n">
        <x:v>1</x:v>
      </x:c>
      <x:c r="E433" s="17" t="n">
        <x:v>0.06518268937764574</x:v>
      </x:c>
      <x:c r="F433" s="18" t="n">
        <x:v>10</x:v>
      </x:c>
      <x:c r="G433" s="17" t="n">
        <x:v>0.0825661182528564</x:v>
      </x:c>
      <x:c r="H433" s="11" t="n">
        <x:f>1/G433</x:f>
        <x:v>12.111505556522935</x:v>
      </x:c>
      <x:c r="I433" s="17" t="n">
        <x:v>11.760345790390392</x:v>
      </x:c>
      <x:c r="J433" s="11" t="n">
        <x:f>I433/H433</x:f>
        <x:v>0.971006101223855</x:v>
      </x:c>
      <x:c r="K433" s="16" t="n">
        <x:f>COUNTIFS($J$8:$J$437,"&gt;"&amp;J433)+COUNTIFS($J$8:J433,J433)</x:f>
        <x:v>399</x:v>
      </x:c>
      <x:c r="L433" s="16" t="n">
        <x:f>IF(K433&lt;='Wyniki'!$B$6,1,0)</x:f>
        <x:v>0</x:v>
      </x:c>
      <x:c r="M433" s="17" t="n">
        <x:v>3.002279277378463</x:v>
      </x:c>
      <x:c r="N433" s="18" t="n">
        <x:v>40</x:v>
      </x:c>
      <x:c r="O433" s="17" t="n">
        <x:v>2.9735188087626137</x:v>
      </x:c>
      <x:c r="P433" s="11" t="n">
        <x:f>1/O433</x:f>
        <x:v>0.33630189156803597</x:v>
      </x:c>
      <x:c r="Q433" s="17" t="n">
        <x:v>0.6690159244323587</x:v>
      </x:c>
      <x:c r="R433" s="11" t="n">
        <x:f>Q433/P433</x:f>
        <x:v>1.989331434661326</x:v>
      </x:c>
      <x:c r="S433" s="16" t="n">
        <x:f>COUNTIFS($R$8:$R$437,"&gt;"&amp;R433)+COUNTIFS($R$8:R433,R433)</x:f>
        <x:v>25</x:v>
      </x:c>
      <x:c r="T433" s="16" t="n">
        <x:f>IF(S433&lt;='Wyniki'!$B$6,1,0)</x:f>
        <x:v>1</x:v>
      </x:c>
    </x:row>
    <x:row r="434" ht="22" customHeight="1">
      <x:c r="A434" s="18" t="n">
        <x:v>427</x:v>
      </x:c>
      <x:c r="B434" s="17" t="n">
        <x:v>4.072688108791369</x:v>
      </x:c>
      <x:c r="C434" s="17" t="n">
        <x:v>0.002486847021692223</x:v>
      </x:c>
      <x:c r="D434" s="18" t="n">
        <x:v>1</x:v>
      </x:c>
      <x:c r="E434" s="17" t="n">
        <x:v>0.0907205199925817</x:v>
      </x:c>
      <x:c r="F434" s="18" t="n">
        <x:v>10</x:v>
      </x:c>
      <x:c r="G434" s="17" t="n">
        <x:v>0.10243940411264393</x:v>
      </x:c>
      <x:c r="H434" s="11" t="n">
        <x:f>1/G434</x:f>
        <x:v>9.761868576474583</x:v>
      </x:c>
      <x:c r="I434" s="17" t="n">
        <x:v>10.745721757184269</x:v>
      </x:c>
      <x:c r="J434" s="11" t="n">
        <x:f>I434/H434</x:f>
        <x:v>1.1007853335662297</x:v>
      </x:c>
      <x:c r="K434" s="16" t="n">
        <x:f>COUNTIFS($J$8:$J$437,"&gt;"&amp;J434)+COUNTIFS($J$8:J434,J434)</x:f>
        <x:v>114</x:v>
      </x:c>
      <x:c r="L434" s="16" t="n">
        <x:f>IF(K434&lt;='Wyniki'!$B$6,1,0)</x:f>
        <x:v>0</x:v>
      </x:c>
      <x:c r="M434" s="17" t="n">
        <x:v>3.097198151668226</x:v>
      </x:c>
      <x:c r="N434" s="18" t="n">
        <x:v>40</x:v>
      </x:c>
      <x:c r="O434" s="17" t="n">
        <x:v>2.9985610457106864</x:v>
      </x:c>
      <x:c r="P434" s="11" t="n">
        <x:f>1/O434</x:f>
        <x:v>0.3334932938685565</x:v>
      </x:c>
      <x:c r="Q434" s="17" t="n">
        <x:v>0.6690861393748457</x:v>
      </x:c>
      <x:c r="R434" s="11" t="n">
        <x:f>Q434/P434</x:f>
        <x:v>2.006295633754364</x:v>
      </x:c>
      <x:c r="S434" s="16" t="n">
        <x:f>COUNTIFS($R$8:$R$437,"&gt;"&amp;R434)+COUNTIFS($R$8:R434,R434)</x:f>
        <x:v>12</x:v>
      </x:c>
      <x:c r="T434" s="16" t="n">
        <x:f>IF(S434&lt;='Wyniki'!$B$6,1,0)</x:f>
        <x:v>1</x:v>
      </x:c>
    </x:row>
    <x:row r="435" ht="22" customHeight="1">
      <x:c r="A435" s="18" t="n">
        <x:v>428</x:v>
      </x:c>
      <x:c r="B435" s="17" t="n">
        <x:v>4.022286073160944</x:v>
      </x:c>
      <x:c r="C435" s="17" t="n">
        <x:v>0.001118817749223397</x:v>
      </x:c>
      <x:c r="D435" s="18" t="n">
        <x:v>1</x:v>
      </x:c>
      <x:c r="E435" s="17" t="n">
        <x:v>0.06518268937764574</x:v>
      </x:c>
      <x:c r="F435" s="18" t="n">
        <x:v>10</x:v>
      </x:c>
      <x:c r="G435" s="17" t="n">
        <x:v>0.07536809108692874</x:v>
      </x:c>
      <x:c r="H435" s="11" t="n">
        <x:f>1/G435</x:f>
        <x:v>13.26821451330923</x:v>
      </x:c>
      <x:c r="I435" s="17" t="n">
        <x:v>12.43128427442349</x:v>
      </x:c>
      <x:c r="J435" s="11" t="n">
        <x:f>I435/H435</x:f>
        <x:v>0.9369221655222545</x:v>
      </x:c>
      <x:c r="K435" s="16" t="n">
        <x:f>COUNTIFS($J$8:$J$437,"&gt;"&amp;J435)+COUNTIFS($J$8:J435,J435)</x:f>
        <x:v>430</x:v>
      </x:c>
      <x:c r="L435" s="16" t="n">
        <x:f>IF(K435&lt;='Wyniki'!$B$6,1,0)</x:f>
        <x:v>0</x:v>
      </x:c>
      <x:c r="M435" s="17" t="n">
        <x:v>3.0474035955122316</x:v>
      </x:c>
      <x:c r="N435" s="18" t="n">
        <x:v>40</x:v>
      </x:c>
      <x:c r="O435" s="17" t="n">
        <x:v>2.986155270658839</x:v>
      </x:c>
      <x:c r="P435" s="11" t="n">
        <x:f>1/O435</x:f>
        <x:v>0.3348787686379646</x:v>
      </x:c>
      <x:c r="Q435" s="17" t="n">
        <x:v>0.6690515025056104</x:v>
      </x:c>
      <x:c r="R435" s="11" t="n">
        <x:f>Q435/P435</x:f>
        <x:v>1.997891670549344</x:v>
      </x:c>
      <x:c r="S435" s="16" t="n">
        <x:f>COUNTIFS($R$8:$R$437,"&gt;"&amp;R435)+COUNTIFS($R$8:R435,R435)</x:f>
        <x:v>17</x:v>
      </x:c>
      <x:c r="T435" s="16" t="n">
        <x:f>IF(S435&lt;='Wyniki'!$B$6,1,0)</x:f>
        <x:v>1</x:v>
      </x:c>
    </x:row>
    <x:row r="436" ht="22" customHeight="1">
      <x:c r="A436" s="18" t="n">
        <x:v>429</x:v>
      </x:c>
      <x:c r="B436" s="17" t="n">
        <x:v>4.026926650128435</x:v>
      </x:c>
      <x:c r="C436" s="17" t="n">
        <x:v>0.03399727179489194</x:v>
      </x:c>
      <x:c r="D436" s="18" t="n">
        <x:v>1</x:v>
      </x:c>
      <x:c r="E436" s="17" t="n">
        <x:v>0.09104168047171837</x:v>
      </x:c>
      <x:c r="F436" s="18" t="n">
        <x:v>10</x:v>
      </x:c>
      <x:c r="G436" s="17" t="n">
        <x:v>0.07980933128874196</x:v>
      </x:c>
      <x:c r="H436" s="11" t="n">
        <x:f>1/G436</x:f>
        <x:v>12.52986316076378</x:v>
      </x:c>
      <x:c r="I436" s="17" t="n">
        <x:v>12.215666411343609</x:v>
      </x:c>
      <x:c r="J436" s="11" t="n">
        <x:f>I436/H436</x:f>
        <x:v>0.9749241675356797</x:v>
      </x:c>
      <x:c r="K436" s="16" t="n">
        <x:f>COUNTIFS($J$8:$J$437,"&gt;"&amp;J436)+COUNTIFS($J$8:J436,J436)</x:f>
        <x:v>394</x:v>
      </x:c>
      <x:c r="L436" s="16" t="n">
        <x:f>IF(K436&lt;='Wyniki'!$B$6,1,0)</x:f>
        <x:v>0</x:v>
      </x:c>
      <x:c r="M436" s="17" t="n">
        <x:v>3.04851508295445</x:v>
      </x:c>
      <x:c r="N436" s="18" t="n">
        <x:v>40</x:v>
      </x:c>
      <x:c r="O436" s="17" t="n">
        <x:v>2.9874124432046067</x:v>
      </x:c>
      <x:c r="P436" s="11" t="n">
        <x:f>1/O436</x:f>
        <x:v>0.3347378438737762</x:v>
      </x:c>
      <x:c r="Q436" s="17" t="n">
        <x:v>0.6690550256247152</x:v>
      </x:c>
      <x:c r="R436" s="11" t="n">
        <x:f>Q436/P436</x:f>
        <x:v>1.9987433087398512</x:v>
      </x:c>
      <x:c r="S436" s="16" t="n">
        <x:f>COUNTIFS($R$8:$R$437,"&gt;"&amp;R436)+COUNTIFS($R$8:R436,R436)</x:f>
        <x:v>15</x:v>
      </x:c>
      <x:c r="T436" s="16" t="n">
        <x:f>IF(S436&lt;='Wyniki'!$B$6,1,0)</x:f>
        <x:v>1</x:v>
      </x:c>
    </x:row>
    <x:row r="437" ht="22" customHeight="1">
      <x:c r="A437" s="18" t="n">
        <x:v>430</x:v>
      </x:c>
      <x:c r="B437" s="17" t="n">
        <x:v>3.845042645383567</x:v>
      </x:c>
      <x:c r="C437" s="17" t="n">
        <x:v>0.05332581348876269</x:v>
      </x:c>
      <x:c r="D437" s="18" t="n">
        <x:v>1</x:v>
      </x:c>
      <x:c r="E437" s="17" t="n">
        <x:v>0.15673673981321273</x:v>
      </x:c>
      <x:c r="F437" s="18" t="n">
        <x:v>10</x:v>
      </x:c>
      <x:c r="G437" s="17" t="n">
        <x:v>0.1306059688330899</x:v>
      </x:c>
      <x:c r="H437" s="11" t="n">
        <x:f>1/G437</x:f>
        <x:v>7.656617909078619</x:v>
      </x:c>
      <x:c r="I437" s="17" t="n">
        <x:v>10.87860585652455</x:v>
      </x:c>
      <x:c r="J437" s="11" t="n">
        <x:f>I437/H437</x:f>
        <x:v>1.4208108574447145</x:v>
      </x:c>
      <x:c r="K437" s="16" t="n">
        <x:f>COUNTIFS($J$8:$J$437,"&gt;"&amp;J437)+COUNTIFS($J$8:J437,J437)</x:f>
        <x:v>24</x:v>
      </x:c>
      <x:c r="L437" s="16" t="n">
        <x:f>IF(K437&lt;='Wyniki'!$B$6,1,0)</x:f>
        <x:v>1</x:v>
      </x:c>
      <x:c r="M437" s="17" t="n">
        <x:v>2.8656619812615802</x:v>
      </x:c>
      <x:c r="N437" s="18" t="n">
        <x:v>40</x:v>
      </x:c>
      <x:c r="O437" s="17" t="n">
        <x:v>2.942855815972801</x:v>
      </x:c>
      <x:c r="P437" s="11" t="n">
        <x:f>1/O437</x:f>
        <x:v>0.33980597845546723</x:v>
      </x:c>
      <x:c r="Q437" s="17" t="n">
        <x:v>0.6689283222601728</x:v>
      </x:c>
      <x:c r="R437" s="11" t="n">
        <x:f>Q437/P437</x:f>
        <x:v>1.9685596036322777</x:v>
      </x:c>
      <x:c r="S437" s="16" t="n">
        <x:f>COUNTIFS($R$8:$R$437,"&gt;"&amp;R437)+COUNTIFS($R$8:R437,R437)</x:f>
        <x:v>35</x:v>
      </x:c>
      <x:c r="T437" s="16" t="n">
        <x:f>IF(S437&lt;='Wyniki'!$B$6,1,0)</x:f>
        <x:v>0</x:v>
      </x:c>
    </x:row>
  </x:sheetData>
  <x:conditionalFormatting sqref="D8:D437">
    <x:cfRule type="cellIs" dxfId="0" priority="1" operator="equal">
      <x:formula>1</x:formula>
    </x:cfRule>
  </x:conditionalFormatting>
  <x:pageMargins left="0.7" right="0.7" top="0.75" bottom="0.75" header="0.3" footer="0.3"/>
</x:worksheet>
</file>